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ogan\Documents\"/>
    </mc:Choice>
  </mc:AlternateContent>
  <xr:revisionPtr revIDLastSave="0" documentId="13_ncr:1_{4ADB7122-8DB9-4FB4-AF10-CBDB1E93E776}" xr6:coauthVersionLast="47" xr6:coauthVersionMax="47" xr10:uidLastSave="{00000000-0000-0000-0000-000000000000}"/>
  <bookViews>
    <workbookView xWindow="-120" yWindow="-120" windowWidth="38640" windowHeight="21120" xr2:uid="{F0C643B7-C928-48CD-8100-53039C73D1F6}"/>
  </bookViews>
  <sheets>
    <sheet name="Analysis" sheetId="3" r:id="rId1"/>
    <sheet name="Data" sheetId="2" r:id="rId2"/>
  </sheets>
  <definedNames>
    <definedName name="ExternalData_1" localSheetId="1" hidden="1">Data!$A$1:$AA$113</definedName>
  </definedNames>
  <calcPr calcId="191029"/>
  <pivotCaches>
    <pivotCache cacheId="0" r:id="rId3"/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B2" i="2" l="1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K6" i="3" a="1"/>
  <c r="J6" i="3" a="1"/>
  <c r="I6" i="3" a="1"/>
  <c r="H6" i="3" a="1"/>
  <c r="G6" i="3" a="1"/>
  <c r="F6" i="3" a="1"/>
  <c r="E6" i="3" a="1"/>
  <c r="O6" i="3" a="1"/>
  <c r="M6" i="3" l="1" a="1"/>
  <c r="R25" i="3" a="1"/>
  <c r="C6" i="3" a="1"/>
  <c r="B6" i="3" a="1"/>
  <c r="Q25" i="3" a="1"/>
  <c r="N6" i="3" a="1"/>
  <c r="L6" i="3" a="1"/>
  <c r="D6" i="3" a="1"/>
  <c r="S25" i="3" a="1"/>
  <c r="T25" i="3" a="1"/>
  <c r="Q21" i="3"/>
  <c r="S21" i="3" s="1"/>
  <c r="Q15" i="3"/>
  <c r="Q17" i="3"/>
  <c r="Q19" i="3"/>
  <c r="T19" i="3" s="1"/>
  <c r="Q14" i="3"/>
  <c r="Q16" i="3"/>
  <c r="Q18" i="3"/>
  <c r="T18" i="3" s="1"/>
  <c r="Q20" i="3"/>
  <c r="T20" i="3" s="1"/>
  <c r="Q7" i="3"/>
  <c r="Q10" i="3"/>
  <c r="Q11" i="3"/>
  <c r="Q12" i="3"/>
  <c r="Q13" i="3"/>
  <c r="Q8" i="3"/>
  <c r="Q9" i="3"/>
  <c r="Q6" i="3"/>
  <c r="R21" i="3" l="1"/>
  <c r="T21" i="3"/>
  <c r="S19" i="3"/>
  <c r="R19" i="3"/>
  <c r="S18" i="3"/>
  <c r="R18" i="3"/>
  <c r="S20" i="3"/>
  <c r="R20" i="3"/>
  <c r="T10" i="3"/>
  <c r="R10" i="3"/>
  <c r="S10" i="3"/>
  <c r="R11" i="3"/>
  <c r="T11" i="3"/>
  <c r="S11" i="3"/>
  <c r="R12" i="3"/>
  <c r="S12" i="3"/>
  <c r="T12" i="3"/>
  <c r="T13" i="3"/>
  <c r="S13" i="3"/>
  <c r="R13" i="3"/>
  <c r="S8" i="3"/>
  <c r="T8" i="3"/>
  <c r="R8" i="3"/>
  <c r="S9" i="3"/>
  <c r="T9" i="3"/>
  <c r="R9" i="3"/>
  <c r="S15" i="3"/>
  <c r="R15" i="3"/>
  <c r="T15" i="3"/>
  <c r="T17" i="3"/>
  <c r="S17" i="3"/>
  <c r="R17" i="3"/>
  <c r="T14" i="3"/>
  <c r="S14" i="3"/>
  <c r="R14" i="3"/>
  <c r="T16" i="3"/>
  <c r="S16" i="3"/>
  <c r="R16" i="3"/>
  <c r="T6" i="3"/>
  <c r="R6" i="3"/>
  <c r="S6" i="3"/>
  <c r="S7" i="3"/>
  <c r="R7" i="3"/>
  <c r="T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BED14F-4272-4614-AF34-5C37C8260571}" keepAlive="1" name="Query - knicks" description="Connection to the 'knicks' query in the workbook." type="5" refreshedVersion="8" background="1" saveData="1">
    <dbPr connection="Provider=Microsoft.Mashup.OleDb.1;Data Source=$Workbook$;Location=knicks;Extended Properties=&quot;&quot;" command="SELECT * FROM [knick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<sst xmlns="http://schemas.openxmlformats.org/spreadsheetml/2006/main" count="364" uniqueCount="109">
  <si>
    <t>SEASON_ID</t>
  </si>
  <si>
    <t>LEAGUE_ID</t>
  </si>
  <si>
    <t>TEAM_ID</t>
  </si>
  <si>
    <t>TEAM_ABBREVIATION</t>
  </si>
  <si>
    <t>PLAYER_AGE</t>
  </si>
  <si>
    <t>GP</t>
  </si>
  <si>
    <t>GS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</si>
  <si>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</si>
  <si>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</si>
  <si>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</si>
  <si>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</si>
  <si>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</si>
  <si>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</si>
  <si>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</si>
  <si>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</si>
  <si>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</si>
  <si>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</si>
  <si>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</si>
  <si>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</si>
  <si>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</si>
  <si>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</si>
  <si>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STL</t>
  </si>
  <si>
    <t>BLK</t>
  </si>
  <si>
    <t>TOV</t>
  </si>
  <si>
    <t>PF</t>
  </si>
  <si>
    <t>PTS</t>
  </si>
  <si>
    <t>2014-15</t>
  </si>
  <si>
    <t>LAL</t>
  </si>
  <si>
    <t>2015-16</t>
  </si>
  <si>
    <t>2016-17</t>
  </si>
  <si>
    <t>2017-18</t>
  </si>
  <si>
    <t>CLE</t>
  </si>
  <si>
    <t>2018-19</t>
  </si>
  <si>
    <t>2019-20</t>
  </si>
  <si>
    <t>UTA</t>
  </si>
  <si>
    <t>2020-21</t>
  </si>
  <si>
    <t>2021-22</t>
  </si>
  <si>
    <t>2022-23</t>
  </si>
  <si>
    <t>2023-24</t>
  </si>
  <si>
    <t>2024-25</t>
  </si>
  <si>
    <t>2025-26</t>
  </si>
  <si>
    <t>NYK</t>
  </si>
  <si>
    <t>OKC</t>
  </si>
  <si>
    <t>NOP</t>
  </si>
  <si>
    <t>POR</t>
  </si>
  <si>
    <t>TOR</t>
  </si>
  <si>
    <t>DAL</t>
  </si>
  <si>
    <t>SAS</t>
  </si>
  <si>
    <t>PHX</t>
  </si>
  <si>
    <t>BKN</t>
  </si>
  <si>
    <t>PHI</t>
  </si>
  <si>
    <t>LAC</t>
  </si>
  <si>
    <t>WAS</t>
  </si>
  <si>
    <t>MEM</t>
  </si>
  <si>
    <t>Name</t>
  </si>
  <si>
    <t>PlayerID</t>
  </si>
  <si>
    <t>Jordan Clarkson</t>
  </si>
  <si>
    <t>Dillon Jones</t>
  </si>
  <si>
    <t>Miles McBride</t>
  </si>
  <si>
    <t>Josh Hart</t>
  </si>
  <si>
    <t>Pacôme Dadiet</t>
  </si>
  <si>
    <t>Jose Alvarado</t>
  </si>
  <si>
    <t>OG Anunoby</t>
  </si>
  <si>
    <t>Kevin McCullar Jr.</t>
  </si>
  <si>
    <t>Jalen Brunson</t>
  </si>
  <si>
    <t>Tyler Kolek</t>
  </si>
  <si>
    <t>Jeremy Sochan</t>
  </si>
  <si>
    <t>Mitchell Robinson</t>
  </si>
  <si>
    <t>Mikal Bridges</t>
  </si>
  <si>
    <t>Karl-Anthony Towns</t>
  </si>
  <si>
    <t>Landry Shamet</t>
  </si>
  <si>
    <t>Trey Jemison III</t>
  </si>
  <si>
    <t>Mohamed Diawara</t>
  </si>
  <si>
    <t>Ariel Hukporti</t>
  </si>
  <si>
    <t>Grand Total</t>
  </si>
  <si>
    <t>Sum of AST</t>
  </si>
  <si>
    <t>Sum of PTS</t>
  </si>
  <si>
    <t>Count of PTS</t>
  </si>
  <si>
    <t>Season</t>
  </si>
  <si>
    <t>TEAM</t>
  </si>
  <si>
    <t>3PT</t>
  </si>
  <si>
    <t>FOUL</t>
  </si>
  <si>
    <t>Per Game?</t>
  </si>
  <si>
    <t>Total Points</t>
  </si>
  <si>
    <r>
      <t xml:space="preserve">Select Player </t>
    </r>
    <r>
      <rPr>
        <b/>
        <sz val="11"/>
        <color theme="0"/>
        <rFont val="Webdings"/>
        <family val="1"/>
        <charset val="2"/>
      </rPr>
      <t>4</t>
    </r>
  </si>
  <si>
    <t>General Stats</t>
  </si>
  <si>
    <t>Scoring Type</t>
  </si>
  <si>
    <t>% of Points from 2PT</t>
  </si>
  <si>
    <t>% of Points from 3PT</t>
  </si>
  <si>
    <t>% of Points from FT</t>
  </si>
  <si>
    <t>Current Age</t>
  </si>
  <si>
    <t>Total MIN</t>
  </si>
  <si>
    <t>Avg PTS</t>
  </si>
  <si>
    <t>Avg FGM</t>
  </si>
  <si>
    <t>Avg 3PT</t>
  </si>
  <si>
    <t>Avg FTM</t>
  </si>
  <si>
    <t>Avg REB</t>
  </si>
  <si>
    <t>Avg AST</t>
  </si>
  <si>
    <t>Avg STL</t>
  </si>
  <si>
    <t>Avg BLK</t>
  </si>
  <si>
    <t>Avg TOV</t>
  </si>
  <si>
    <t>Avg FOUL</t>
  </si>
  <si>
    <t>Total GP</t>
  </si>
  <si>
    <t>Shot Accuracy</t>
  </si>
  <si>
    <t>2PT Accuracy</t>
  </si>
  <si>
    <t>3PT Accuracy</t>
  </si>
  <si>
    <t>FT Accuracy</t>
  </si>
  <si>
    <t>Compare Team</t>
  </si>
  <si>
    <t>PLAYER_ID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</si>
</sst>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theme="0"/>
      <name val="Webdings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552582"/>
        <bgColor indexed="64"/>
      </patternFill>
    </fill>
    <fill>
      <patternFill patternType="solid">
        <fgColor rgb="FF006BB6"/>
        <bgColor indexed="64"/>
      </patternFill>
    </fill>
    <fill>
      <patternFill patternType="solid">
        <fgColor rgb="FF860038"/>
        <bgColor indexed="64"/>
      </patternFill>
    </fill>
    <fill>
      <patternFill patternType="solid">
        <fgColor rgb="FF002B5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pivotButton="1"/>
    <xf numFmtId="0" fontId="4" fillId="4" borderId="0" xfId="0" applyFont="1" applyFill="1"/>
    <xf numFmtId="0" fontId="1" fillId="2" borderId="1" xfId="0" applyFont="1" applyFill="1" applyBorder="1"/>
    <xf numFmtId="0" fontId="4" fillId="3" borderId="0" xfId="0" applyFont="1" applyFill="1"/>
    <xf numFmtId="0" fontId="0" fillId="7" borderId="1" xfId="0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7" borderId="1" xfId="0" applyFont="1" applyFill="1" applyBorder="1" applyAlignment="1">
      <alignment horizontal="center" vertical="center"/>
    </xf>
    <xf numFmtId="0" fontId="4" fillId="5" borderId="0" xfId="0" applyFont="1" applyFill="1"/>
    <xf numFmtId="0" fontId="4" fillId="6" borderId="0" xfId="0" applyFont="1" applyFill="1"/>
    <xf numFmtId="3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5" fontId="0" fillId="0" borderId="0" xfId="1" applyNumberFormat="1" applyFont="1" applyBorder="1"/>
    <xf numFmtId="165" fontId="0" fillId="0" borderId="0" xfId="1" applyNumberFormat="1" applyFont="1" applyFill="1" applyBorder="1"/>
    <xf numFmtId="0" fontId="1" fillId="2" borderId="1" xfId="0" applyFont="1" applyFill="1" applyBorder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vertical="center"/>
    </xf>
    <xf numFmtId="0" fontId="3" fillId="0" borderId="0" xfId="0" applyFont="1"/>
  </cellXfs>
  <cellStyles count="2">
    <cellStyle name="Normal" xfId="0" builtinId="0"/>
    <cellStyle name="Percent" xfId="1" builtinId="5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22/11/relationships/FeaturePropertyBag" Target="featurePropertyBag/featurePropertyBag.xml"/><Relationship Id="rId4" Type="http://schemas.openxmlformats.org/officeDocument/2006/relationships/pivotCacheDefinition" Target="pivotCache/pivotCacheDefinition2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Points Over Career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Analysis!$R$5</c:f>
              <c:strCache>
                <c:ptCount val="1"/>
                <c:pt idx="0">
                  <c:v>% of Points from 2PT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Analysis!$B$6:$B$19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Analysis!$R$6:$R$19</c:f>
              <c:numCache>
                <c:formatCode>0.0%</c:formatCode>
                <c:ptCount val="14"/>
                <c:pt idx="0">
                  <c:v>0.65149999999999997</c:v>
                </c:pt>
                <c:pt idx="1">
                  <c:v>0.59430000000000005</c:v>
                </c:pt>
                <c:pt idx="2">
                  <c:v>0.59750000000000003</c:v>
                </c:pt>
                <c:pt idx="3">
                  <c:v>0.59919999999999995</c:v>
                </c:pt>
                <c:pt idx="4">
                  <c:v>0.4929</c:v>
                </c:pt>
                <c:pt idx="5">
                  <c:v>0.5645</c:v>
                </c:pt>
                <c:pt idx="6">
                  <c:v>0.40189999999999998</c:v>
                </c:pt>
                <c:pt idx="7">
                  <c:v>0.47939999999999999</c:v>
                </c:pt>
                <c:pt idx="8">
                  <c:v>0.39810000000000001</c:v>
                </c:pt>
                <c:pt idx="9">
                  <c:v>0.436</c:v>
                </c:pt>
                <c:pt idx="10">
                  <c:v>0.4768</c:v>
                </c:pt>
                <c:pt idx="11">
                  <c:v>0.52229999999999999</c:v>
                </c:pt>
                <c:pt idx="12">
                  <c:v>0.39</c:v>
                </c:pt>
                <c:pt idx="13">
                  <c:v>0.53700000000000003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BD-4AEB-B514-F539363F1F62}"/>
            </c:ext>
          </c:extLst>
        </c:ser>
        <c:ser>
          <c:idx val="1"/>
          <c:order val="1"/>
          <c:tx>
            <c:strRef>
              <c:f>Analysis!$S$5</c:f>
              <c:strCache>
                <c:ptCount val="1"/>
                <c:pt idx="0">
                  <c:v>% of Points from 3PT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Analysis!$B$6:$B$19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Analysis!$S$6:$S$19</c:f>
              <c:numCache>
                <c:formatCode>0.0%</c:formatCode>
                <c:ptCount val="14"/>
                <c:pt idx="0">
                  <c:v>0.16220000000000001</c:v>
                </c:pt>
                <c:pt idx="1">
                  <c:v>0.27179999999999999</c:v>
                </c:pt>
                <c:pt idx="2">
                  <c:v>0.2913</c:v>
                </c:pt>
                <c:pt idx="3">
                  <c:v>0.2646</c:v>
                </c:pt>
                <c:pt idx="4">
                  <c:v>0.37390000000000001</c:v>
                </c:pt>
                <c:pt idx="5">
                  <c:v>0.31669999999999998</c:v>
                </c:pt>
                <c:pt idx="6">
                  <c:v>0.41839999999999999</c:v>
                </c:pt>
                <c:pt idx="7">
                  <c:v>0.42599999999999999</c:v>
                </c:pt>
                <c:pt idx="8">
                  <c:v>0.49880000000000002</c:v>
                </c:pt>
                <c:pt idx="9">
                  <c:v>0.45019999999999999</c:v>
                </c:pt>
                <c:pt idx="10">
                  <c:v>0.3659</c:v>
                </c:pt>
                <c:pt idx="11">
                  <c:v>0.2898</c:v>
                </c:pt>
                <c:pt idx="12">
                  <c:v>0.42</c:v>
                </c:pt>
                <c:pt idx="13">
                  <c:v>0.33760000000000001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BD-4AEB-B514-F539363F1F62}"/>
            </c:ext>
          </c:extLst>
        </c:ser>
        <c:ser>
          <c:idx val="2"/>
          <c:order val="2"/>
          <c:tx>
            <c:strRef>
              <c:f>Analysis!$T$5</c:f>
              <c:strCache>
                <c:ptCount val="1"/>
                <c:pt idx="0">
                  <c:v>% of Points from FT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Analysis!$B$6:$B$19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Analysis!$T$6:$T$19</c:f>
              <c:numCache>
                <c:formatCode>0.0%</c:formatCode>
                <c:ptCount val="14"/>
                <c:pt idx="0">
                  <c:v>0.18629999999999999</c:v>
                </c:pt>
                <c:pt idx="1">
                  <c:v>0.13389999999999999</c:v>
                </c:pt>
                <c:pt idx="2">
                  <c:v>0.11119999999999999</c:v>
                </c:pt>
                <c:pt idx="3">
                  <c:v>0.13619999999999999</c:v>
                </c:pt>
                <c:pt idx="4">
                  <c:v>0.1331</c:v>
                </c:pt>
                <c:pt idx="5">
                  <c:v>0.1188</c:v>
                </c:pt>
                <c:pt idx="6">
                  <c:v>0.1797</c:v>
                </c:pt>
                <c:pt idx="7">
                  <c:v>9.4700000000000006E-2</c:v>
                </c:pt>
                <c:pt idx="8">
                  <c:v>0.1031</c:v>
                </c:pt>
                <c:pt idx="9">
                  <c:v>0.1137</c:v>
                </c:pt>
                <c:pt idx="10">
                  <c:v>0.15740000000000001</c:v>
                </c:pt>
                <c:pt idx="11">
                  <c:v>0.18790000000000001</c:v>
                </c:pt>
                <c:pt idx="12">
                  <c:v>0.19</c:v>
                </c:pt>
                <c:pt idx="13">
                  <c:v>0.12540000000000001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BD-4AEB-B514-F539363F1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677263"/>
        <c:axId val="1574180943"/>
      </c:lineChart>
      <c:catAx>
        <c:axId val="200967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180943"/>
        <c:crosses val="autoZero"/>
        <c:auto val="1"/>
        <c:lblAlgn val="ctr"/>
        <c:lblOffset val="100"/>
        <c:noMultiLvlLbl val="0"/>
      </c:catAx>
      <c:valAx>
        <c:axId val="157418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677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Shot Accuracy Over Career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Analysis!$R$24</c:f>
              <c:strCache>
                <c:ptCount val="1"/>
                <c:pt idx="0">
                  <c:v>2PT 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Analysis!$Q$25:$Q$38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Analysis!$R$25:$R$38</c:f>
              <c:numCache>
                <c:formatCode>0.0%</c:formatCode>
                <c:ptCount val="14"/>
                <c:pt idx="0">
                  <c:v>0.48210526315789476</c:v>
                </c:pt>
                <c:pt idx="1">
                  <c:v>0.46786632390745503</c:v>
                </c:pt>
                <c:pt idx="2">
                  <c:v>0.50349650349650354</c:v>
                </c:pt>
                <c:pt idx="3">
                  <c:v>0.50547045951859959</c:v>
                </c:pt>
                <c:pt idx="4">
                  <c:v>0.48603351955307261</c:v>
                </c:pt>
                <c:pt idx="5">
                  <c:v>0.52380952380952384</c:v>
                </c:pt>
                <c:pt idx="6">
                  <c:v>0.50898203592814373</c:v>
                </c:pt>
                <c:pt idx="7">
                  <c:v>0.54703832752613235</c:v>
                </c:pt>
                <c:pt idx="8">
                  <c:v>0.52310924369747902</c:v>
                </c:pt>
                <c:pt idx="9">
                  <c:v>0.53488372093023251</c:v>
                </c:pt>
                <c:pt idx="10">
                  <c:v>0.52972027972027969</c:v>
                </c:pt>
                <c:pt idx="11">
                  <c:v>0.48520710059171596</c:v>
                </c:pt>
                <c:pt idx="12">
                  <c:v>0.44827586206896552</c:v>
                </c:pt>
                <c:pt idx="13">
                  <c:v>0.53525641025641024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89-4B61-9E79-7F772979AF73}"/>
            </c:ext>
          </c:extLst>
        </c:ser>
        <c:ser>
          <c:idx val="1"/>
          <c:order val="1"/>
          <c:tx>
            <c:strRef>
              <c:f>Analysis!$S$24</c:f>
              <c:strCache>
                <c:ptCount val="1"/>
                <c:pt idx="0">
                  <c:v>3PT Accuracy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Analysis!$Q$25:$Q$38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Analysis!$S$25:$S$38</c:f>
              <c:numCache>
                <c:formatCode>0.0%</c:formatCode>
                <c:ptCount val="14"/>
                <c:pt idx="0">
                  <c:v>0.314</c:v>
                </c:pt>
                <c:pt idx="1">
                  <c:v>0.34699999999999998</c:v>
                </c:pt>
                <c:pt idx="2">
                  <c:v>0.32900000000000001</c:v>
                </c:pt>
                <c:pt idx="3">
                  <c:v>0.32400000000000001</c:v>
                </c:pt>
                <c:pt idx="4">
                  <c:v>0.40699999999999997</c:v>
                </c:pt>
                <c:pt idx="5">
                  <c:v>0.32400000000000001</c:v>
                </c:pt>
                <c:pt idx="6">
                  <c:v>0.371</c:v>
                </c:pt>
                <c:pt idx="7">
                  <c:v>0.36599999999999999</c:v>
                </c:pt>
                <c:pt idx="8">
                  <c:v>0.34699999999999998</c:v>
                </c:pt>
                <c:pt idx="9">
                  <c:v>0.318</c:v>
                </c:pt>
                <c:pt idx="10">
                  <c:v>0.33800000000000002</c:v>
                </c:pt>
                <c:pt idx="11">
                  <c:v>0.29399999999999998</c:v>
                </c:pt>
                <c:pt idx="12">
                  <c:v>0.36199999999999999</c:v>
                </c:pt>
                <c:pt idx="13">
                  <c:v>0.32700000000000001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89-4B61-9E79-7F772979AF73}"/>
            </c:ext>
          </c:extLst>
        </c:ser>
        <c:ser>
          <c:idx val="2"/>
          <c:order val="2"/>
          <c:tx>
            <c:strRef>
              <c:f>Analysis!$T$24</c:f>
              <c:strCache>
                <c:ptCount val="1"/>
                <c:pt idx="0">
                  <c:v>FT Accuracy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Analysis!$Q$25:$Q$38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Analysis!$T$25:$T$38</c:f>
              <c:numCache>
                <c:formatCode>0.0%</c:formatCode>
                <c:ptCount val="14"/>
                <c:pt idx="0">
                  <c:v>0.82899999999999996</c:v>
                </c:pt>
                <c:pt idx="1">
                  <c:v>0.80400000000000005</c:v>
                </c:pt>
                <c:pt idx="2">
                  <c:v>0.79800000000000004</c:v>
                </c:pt>
                <c:pt idx="3">
                  <c:v>0.79500000000000004</c:v>
                </c:pt>
                <c:pt idx="4">
                  <c:v>0.81</c:v>
                </c:pt>
                <c:pt idx="5">
                  <c:v>0.84399999999999997</c:v>
                </c:pt>
                <c:pt idx="6">
                  <c:v>0.88400000000000001</c:v>
                </c:pt>
                <c:pt idx="7">
                  <c:v>0.78500000000000003</c:v>
                </c:pt>
                <c:pt idx="8">
                  <c:v>0.89600000000000002</c:v>
                </c:pt>
                <c:pt idx="9">
                  <c:v>0.82799999999999996</c:v>
                </c:pt>
                <c:pt idx="10">
                  <c:v>0.81599999999999995</c:v>
                </c:pt>
                <c:pt idx="11">
                  <c:v>0.88100000000000001</c:v>
                </c:pt>
                <c:pt idx="12">
                  <c:v>0.79700000000000004</c:v>
                </c:pt>
                <c:pt idx="13">
                  <c:v>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89-4B61-9E79-7F772979A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117951"/>
        <c:axId val="902116991"/>
      </c:lineChart>
      <c:catAx>
        <c:axId val="902117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116991"/>
        <c:crosses val="autoZero"/>
        <c:auto val="1"/>
        <c:lblAlgn val="ctr"/>
        <c:lblOffset val="100"/>
        <c:noMultiLvlLbl val="0"/>
      </c:catAx>
      <c:valAx>
        <c:axId val="90211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117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4</xdr:row>
      <xdr:rowOff>0</xdr:rowOff>
    </xdr:from>
    <xdr:to>
      <xdr:col>30</xdr:col>
      <xdr:colOff>0</xdr:colOff>
      <xdr:row>20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FBDCDB-7BCA-C627-7A88-67A2ED29CE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238124</xdr:colOff>
      <xdr:row>23</xdr:row>
      <xdr:rowOff>4762</xdr:rowOff>
    </xdr:from>
    <xdr:to>
      <xdr:col>29</xdr:col>
      <xdr:colOff>676274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D2520F-5031-63A7-58D7-50B297B402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gan" refreshedDate="46205.599459143516" createdVersion="8" refreshedVersion="8" minRefreshableVersion="3" recordCount="124" xr:uid="{87952B7E-65B4-4240-8281-2EA7D78C9727}">
  <cacheSource type="worksheet">
    <worksheetSource ref="A1:AB1048576" sheet="Data"/>
  </cacheSource>
  <cacheFields count="28">
    <cacheField name="PLAYER_ID" numFmtId="0">
      <sharedItems containsString="0" containsBlank="1" containsNumber="1" containsInteger="1" minValue="203903" maxValue="1642885"/>
    </cacheField>
    <cacheField name="SEASON_ID" numFmtId="0">
      <sharedItems containsBlank="1" count="13">
        <s v="2014-15"/>
        <s v="2015-16"/>
        <s v="2016-17"/>
        <s v="2017-18"/>
        <s v="2018-19"/>
        <s v="2019-20"/>
        <s v="2020-21"/>
        <s v="2021-22"/>
        <s v="2022-23"/>
        <s v="2023-24"/>
        <s v="2024-25"/>
        <s v="2025-26"/>
        <m/>
      </sharedItems>
    </cacheField>
    <cacheField name="LEAGUE_ID" numFmtId="0">
      <sharedItems containsString="0" containsBlank="1" containsNumber="1" containsInteger="1" minValue="0" maxValue="0"/>
    </cacheField>
    <cacheField name="TEAM_ID" numFmtId="0">
      <sharedItems containsString="0" containsBlank="1" containsNumber="1" containsInteger="1" minValue="0" maxValue="1610612764"/>
    </cacheField>
    <cacheField name="TEAM_ABBREVIATION" numFmtId="0">
      <sharedItems containsBlank="1"/>
    </cacheField>
    <cacheField name="PLAYER_AGE" numFmtId="0">
      <sharedItems containsString="0" containsBlank="1" containsNumber="1" containsInteger="1" minValue="19" maxValue="34"/>
    </cacheField>
    <cacheField name="GP" numFmtId="0">
      <sharedItems containsString="0" containsBlank="1" containsNumber="1" containsInteger="1" minValue="2" maxValue="83"/>
    </cacheField>
    <cacheField name="GS" numFmtId="0">
      <sharedItems containsString="0" containsBlank="1" containsNumber="1" containsInteger="1" minValue="0" maxValue="83"/>
    </cacheField>
    <cacheField name="MIN" numFmtId="0">
      <sharedItems containsString="0" containsBlank="1" containsNumber="1" containsInteger="1" minValue="1" maxValue="3036"/>
    </cacheField>
    <cacheField name="FGM" numFmtId="0">
      <sharedItems containsString="0" containsBlank="1" containsNumber="1" containsInteger="1" minValue="0" maxValue="802"/>
    </cacheField>
    <cacheField name="FGA" numFmtId="0">
      <sharedItems containsString="0" containsBlank="1" containsNumber="1" containsInteger="1" minValue="0" maxValue="1648"/>
    </cacheField>
    <cacheField name="FG_PCT" numFmtId="0">
      <sharedItems containsString="0" containsBlank="1" containsNumber="1" minValue="0" maxValue="0.76100000000000001"/>
    </cacheField>
    <cacheField name="FG3M" numFmtId="0">
      <sharedItems containsString="0" containsBlank="1" containsNumber="1" containsInteger="1" minValue="0" maxValue="220"/>
    </cacheField>
    <cacheField name="FG3A" numFmtId="0">
      <sharedItems containsString="0" containsBlank="1" containsNumber="1" containsInteger="1" minValue="0" maxValue="599"/>
    </cacheField>
    <cacheField name="FG3_PCT" numFmtId="0">
      <sharedItems containsString="0" containsBlank="1" containsNumber="1" minValue="0" maxValue="0.51900000000000002"/>
    </cacheField>
    <cacheField name="FTM" numFmtId="0">
      <sharedItems containsString="0" containsBlank="1" containsNumber="1" containsInteger="1" minValue="0" maxValue="421"/>
    </cacheField>
    <cacheField name="FTA" numFmtId="0">
      <sharedItems containsString="0" containsBlank="1" containsNumber="1" containsInteger="1" minValue="0" maxValue="497"/>
    </cacheField>
    <cacheField name="FT_PCT" numFmtId="0">
      <sharedItems containsString="0" containsBlank="1" containsNumber="1" minValue="0" maxValue="1"/>
    </cacheField>
    <cacheField name="OREB" numFmtId="0">
      <sharedItems containsString="0" containsBlank="1" containsNumber="1" containsInteger="1" minValue="0" maxValue="296"/>
    </cacheField>
    <cacheField name="DREB" numFmtId="0">
      <sharedItems containsString="0" containsBlank="1" containsNumber="1" containsInteger="1" minValue="1" maxValue="774"/>
    </cacheField>
    <cacheField name="REB" numFmtId="0">
      <sharedItems containsString="0" containsBlank="1" containsNumber="1" containsInteger="1" minValue="1" maxValue="1012"/>
    </cacheField>
    <cacheField name="AST" numFmtId="0">
      <sharedItems containsString="0" containsBlank="1" containsNumber="1" containsInteger="1" minValue="0" maxValue="519"/>
    </cacheField>
    <cacheField name="STL" numFmtId="0">
      <sharedItems containsString="0" containsBlank="1" containsNumber="1" containsInteger="1" minValue="0" maxValue="129"/>
    </cacheField>
    <cacheField name="BLK" numFmtId="0">
      <sharedItems containsString="0" containsBlank="1" containsNumber="1" containsInteger="1" minValue="0" maxValue="161"/>
    </cacheField>
    <cacheField name="TOV" numFmtId="0">
      <sharedItems containsString="0" containsBlank="1" containsNumber="1" containsInteger="1" minValue="0" maxValue="240"/>
    </cacheField>
    <cacheField name="PF" numFmtId="0">
      <sharedItems containsString="0" containsBlank="1" containsNumber="1" containsInteger="1" minValue="0" maxValue="292"/>
    </cacheField>
    <cacheField name="PTS" numFmtId="0">
      <sharedItems containsString="0" containsBlank="1" containsNumber="1" containsInteger="1" minValue="0" maxValue="2212"/>
    </cacheField>
    <cacheField name="Name" numFmtId="0">
      <sharedItems containsBlank="1" count="19">
        <s v="Jordan Clarkson"/>
        <s v="Dillon Jones"/>
        <s v="Miles McBride"/>
        <s v="Josh Hart"/>
        <s v="Pacôme Dadiet"/>
        <s v="Jose Alvarado"/>
        <s v="OG Anunoby"/>
        <s v="Kevin McCullar Jr."/>
        <s v="Jalen Brunson"/>
        <s v="Tyler Kolek"/>
        <s v="Jeremy Sochan"/>
        <s v="Mitchell Robinson"/>
        <s v="Mikal Bridges"/>
        <s v="Karl-Anthony Towns"/>
        <s v="Landry Shamet"/>
        <s v="Trey Jemison III"/>
        <s v="Mohamed Diawara"/>
        <s v="Ariel Hukporti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gan" refreshedDate="46220.708799768516" createdVersion="8" refreshedVersion="8" minRefreshableVersion="3" recordCount="123" xr:uid="{073970AF-B420-4C77-827E-CA224E08122B}">
  <cacheSource type="worksheet">
    <worksheetSource name="knicks"/>
  </cacheSource>
  <cacheFields count="28">
    <cacheField name=" " numFmtId="0">
      <sharedItems containsSemiMixedTypes="0" containsString="0" containsNumber="1" containsInteger="1" minValue="203903" maxValue="1642885"/>
    </cacheField>
    <cacheField name="SEASON_ID" numFmtId="0">
      <sharedItems count="12">
        <s v="2014-15"/>
        <s v="2015-16"/>
        <s v="2016-17"/>
        <s v="2017-18"/>
        <s v="2018-19"/>
        <s v="2019-20"/>
        <s v="2020-21"/>
        <s v="2021-22"/>
        <s v="2022-23"/>
        <s v="2023-24"/>
        <s v="2024-25"/>
        <s v="2025-26"/>
      </sharedItems>
    </cacheField>
    <cacheField name="LEAGUE_ID" numFmtId="0">
      <sharedItems containsSemiMixedTypes="0" containsString="0" containsNumber="1" containsInteger="1" minValue="0" maxValue="0"/>
    </cacheField>
    <cacheField name="TEAM_ID" numFmtId="0">
      <sharedItems containsSemiMixedTypes="0" containsString="0" containsNumber="1" containsInteger="1" minValue="0" maxValue="1610612764"/>
    </cacheField>
    <cacheField name="TEAM_ABBREVIATION" numFmtId="0">
      <sharedItems/>
    </cacheField>
    <cacheField name="PLAYER_AGE" numFmtId="0">
      <sharedItems containsSemiMixedTypes="0" containsString="0" containsNumber="1" containsInteger="1" minValue="19" maxValue="34"/>
    </cacheField>
    <cacheField name="GP" numFmtId="0">
      <sharedItems containsSemiMixedTypes="0" containsString="0" containsNumber="1" containsInteger="1" minValue="2" maxValue="83"/>
    </cacheField>
    <cacheField name="GS" numFmtId="0">
      <sharedItems containsSemiMixedTypes="0" containsString="0" containsNumber="1" containsInteger="1" minValue="0" maxValue="83"/>
    </cacheField>
    <cacheField name="MIN" numFmtId="0">
      <sharedItems containsSemiMixedTypes="0" containsString="0" containsNumber="1" containsInteger="1" minValue="1" maxValue="3036"/>
    </cacheField>
    <cacheField name="FGM" numFmtId="0">
      <sharedItems containsSemiMixedTypes="0" containsString="0" containsNumber="1" containsInteger="1" minValue="0" maxValue="802"/>
    </cacheField>
    <cacheField name="FGA" numFmtId="0">
      <sharedItems containsSemiMixedTypes="0" containsString="0" containsNumber="1" containsInteger="1" minValue="0" maxValue="1648"/>
    </cacheField>
    <cacheField name="FG_PCT" numFmtId="0">
      <sharedItems containsSemiMixedTypes="0" containsString="0" containsNumber="1" minValue="0" maxValue="0.76100000000000001" count="102">
        <n v="0.44800000000000001"/>
        <n v="0.433"/>
        <n v="0.44500000000000001"/>
        <n v="0.45600000000000002"/>
        <n v="0.45100000000000001"/>
        <n v="0.442"/>
        <n v="0.46200000000000002"/>
        <n v="0.45400000000000001"/>
        <n v="0.42499999999999999"/>
        <n v="0.41899999999999998"/>
        <n v="0.44400000000000001"/>
        <n v="0.41299999999999998"/>
        <n v="0.40799999999999997"/>
        <n v="0.38300000000000001"/>
        <n v="0.222"/>
        <n v="0.29599999999999999"/>
        <n v="0.35799999999999998"/>
        <n v="0.45200000000000001"/>
        <n v="0.40600000000000003"/>
        <n v="0.42299999999999999"/>
        <n v="0.46899999999999997"/>
        <n v="0.40699999999999997"/>
        <n v="0.439"/>
        <n v="0.505"/>
        <n v="0.503"/>
        <n v="0.504"/>
        <n v="0.58599999999999997"/>
        <n v="0.52900000000000003"/>
        <n v="0.434"/>
        <n v="0.52500000000000002"/>
        <n v="0.50800000000000001"/>
        <n v="0.32300000000000001"/>
        <n v="0.33300000000000002"/>
        <n v="0.44600000000000001"/>
        <n v="0.41099999999999998"/>
        <n v="0.41199999999999998"/>
        <n v="0.39200000000000002"/>
        <n v="0.41799999999999998"/>
        <n v="0.41399999999999998"/>
        <n v="0.41599999999999998"/>
        <n v="0.47099999999999997"/>
        <n v="0.45300000000000001"/>
        <n v="0.48"/>
        <n v="0.443"/>
        <n v="0.47599999999999998"/>
        <n v="0.48899999999999999"/>
        <n v="0.48799999999999999"/>
        <n v="0.48399999999999999"/>
        <n v="0.28599999999999998"/>
        <n v="0.42599999999999999"/>
        <n v="0.46700000000000003"/>
        <n v="0.46600000000000003"/>
        <n v="0.52300000000000002"/>
        <n v="0.502"/>
        <n v="0.49099999999999999"/>
        <n v="0.47899999999999998"/>
        <n v="0.48699999999999999"/>
        <n v="0.32900000000000001"/>
        <n v="0.435"/>
        <n v="0.438"/>
        <n v="0.53500000000000003"/>
        <n v="0.47499999999999998"/>
        <n v="0.56699999999999995"/>
        <n v="0.496"/>
        <n v="0.69399999999999995"/>
        <n v="0.74199999999999999"/>
        <n v="0.65300000000000002"/>
        <n v="0.76100000000000001"/>
        <n v="0.67100000000000004"/>
        <n v="0.57499999999999996"/>
        <n v="0.66100000000000003"/>
        <n v="0.72299999999999998"/>
        <n v="0.43"/>
        <n v="0.51"/>
        <n v="0.54300000000000004"/>
        <n v="0.53400000000000003"/>
        <n v="0.46300000000000002"/>
        <n v="0.46800000000000003"/>
        <n v="0.436"/>
        <n v="0.5"/>
        <n v="0.49"/>
        <n v="0.54200000000000004"/>
        <n v="0.54500000000000004"/>
        <n v="0.51800000000000002"/>
        <n v="0.48599999999999999"/>
        <n v="0.495"/>
        <n v="0.52600000000000002"/>
        <n v="0.501"/>
        <n v="0.441"/>
        <n v="0.43099999999999999"/>
        <n v="0.40400000000000003"/>
        <n v="0.39400000000000002"/>
        <n v="0.377"/>
        <n v="0.46100000000000002"/>
        <n v="0.437"/>
        <n v="0"/>
        <n v="0.55100000000000005"/>
        <n v="0.61899999999999999"/>
        <n v="0.55400000000000005"/>
        <n v="0.6"/>
        <n v="0.67700000000000005"/>
        <n v="0.56299999999999994"/>
      </sharedItems>
    </cacheField>
    <cacheField name="FG3M" numFmtId="0">
      <sharedItems containsSemiMixedTypes="0" containsString="0" containsNumber="1" containsInteger="1" minValue="0" maxValue="220"/>
    </cacheField>
    <cacheField name="FG3A" numFmtId="0">
      <sharedItems containsSemiMixedTypes="0" containsString="0" containsNumber="1" containsInteger="1" minValue="0" maxValue="599"/>
    </cacheField>
    <cacheField name="FG3_PCT" numFmtId="0">
      <sharedItems containsSemiMixedTypes="0" containsString="0" containsNumber="1" minValue="0" maxValue="0.51900000000000002"/>
    </cacheField>
    <cacheField name="FTM" numFmtId="0">
      <sharedItems containsSemiMixedTypes="0" containsString="0" containsNumber="1" containsInteger="1" minValue="0" maxValue="421"/>
    </cacheField>
    <cacheField name="FTA" numFmtId="0">
      <sharedItems containsSemiMixedTypes="0" containsString="0" containsNumber="1" containsInteger="1" minValue="0" maxValue="497"/>
    </cacheField>
    <cacheField name="FT_PCT" numFmtId="0">
      <sharedItems containsSemiMixedTypes="0" containsString="0" containsNumber="1" minValue="0" maxValue="1"/>
    </cacheField>
    <cacheField name="OREB" numFmtId="0">
      <sharedItems containsSemiMixedTypes="0" containsString="0" containsNumber="1" containsInteger="1" minValue="0" maxValue="296"/>
    </cacheField>
    <cacheField name="DREB" numFmtId="0">
      <sharedItems containsSemiMixedTypes="0" containsString="0" containsNumber="1" containsInteger="1" minValue="1" maxValue="774"/>
    </cacheField>
    <cacheField name="REB" numFmtId="0">
      <sharedItems containsSemiMixedTypes="0" containsString="0" containsNumber="1" containsInteger="1" minValue="1" maxValue="1012"/>
    </cacheField>
    <cacheField name="AST" numFmtId="0">
      <sharedItems containsSemiMixedTypes="0" containsString="0" containsNumber="1" containsInteger="1" minValue="0" maxValue="519"/>
    </cacheField>
    <cacheField name="STL" numFmtId="0">
      <sharedItems containsSemiMixedTypes="0" containsString="0" containsNumber="1" containsInteger="1" minValue="0" maxValue="129"/>
    </cacheField>
    <cacheField name="BLK" numFmtId="0">
      <sharedItems containsSemiMixedTypes="0" containsString="0" containsNumber="1" containsInteger="1" minValue="0" maxValue="161"/>
    </cacheField>
    <cacheField name="TOV" numFmtId="0">
      <sharedItems containsSemiMixedTypes="0" containsString="0" containsNumber="1" containsInteger="1" minValue="0" maxValue="240"/>
    </cacheField>
    <cacheField name="PF" numFmtId="0">
      <sharedItems containsSemiMixedTypes="0" containsString="0" containsNumber="1" containsInteger="1" minValue="0" maxValue="292"/>
    </cacheField>
    <cacheField name="PTS" numFmtId="0">
      <sharedItems containsSemiMixedTypes="0" containsString="0" containsNumber="1" containsInteger="1" minValue="0" maxValue="2212"/>
    </cacheField>
    <cacheField name="Name" numFmtId="0">
      <sharedItems count="18">
        <s v="Jordan Clarkson"/>
        <s v="Dillon Jones"/>
        <s v="Miles McBride"/>
        <s v="Josh Hart"/>
        <s v="Pacôme Dadiet"/>
        <s v="Jose Alvarado"/>
        <s v="OG Anunoby"/>
        <s v="Kevin McCullar Jr."/>
        <s v="Jalen Brunson"/>
        <s v="Tyler Kolek"/>
        <s v="Jeremy Sochan"/>
        <s v="Mitchell Robinson"/>
        <s v="Mikal Bridges"/>
        <s v="Karl-Anthony Towns"/>
        <s v="Landry Shamet"/>
        <s v="Trey Jemison III"/>
        <s v="Mohamed Diawara"/>
        <s v="Ariel Hukporti"/>
      </sharedItems>
    </cacheField>
  </cacheFields>
  <extLst>
    <ext xmlns:x14="http://schemas.microsoft.com/office/spreadsheetml/2009/9/main" uri="{725AE2AE-9491-48be-B2B4-4EB974FC3084}">
      <x14:pivotCacheDefinition pivotCacheId="16102619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n v="203903"/>
    <x v="0"/>
    <n v="0"/>
    <n v="1610612747"/>
    <s v="LAL"/>
    <n v="23"/>
    <n v="59"/>
    <n v="38"/>
    <n v="1476"/>
    <n v="267"/>
    <n v="596"/>
    <n v="0.44800000000000001"/>
    <n v="38"/>
    <n v="121"/>
    <n v="0.314"/>
    <n v="131"/>
    <n v="158"/>
    <n v="0.82899999999999996"/>
    <n v="56"/>
    <n v="135"/>
    <n v="191"/>
    <n v="206"/>
    <n v="51"/>
    <n v="12"/>
    <n v="96"/>
    <n v="109"/>
    <n v="703"/>
    <x v="0"/>
  </r>
  <r>
    <n v="203903"/>
    <x v="1"/>
    <n v="0"/>
    <n v="1610612747"/>
    <s v="LAL"/>
    <n v="24"/>
    <n v="79"/>
    <n v="79"/>
    <n v="2552"/>
    <n v="475"/>
    <n v="1098"/>
    <n v="0.433"/>
    <n v="111"/>
    <n v="320"/>
    <n v="0.34699999999999998"/>
    <n v="164"/>
    <n v="204"/>
    <n v="0.80400000000000005"/>
    <n v="93"/>
    <n v="220"/>
    <n v="313"/>
    <n v="192"/>
    <n v="88"/>
    <n v="7"/>
    <n v="135"/>
    <n v="168"/>
    <n v="1225"/>
    <x v="0"/>
  </r>
  <r>
    <n v="203903"/>
    <x v="2"/>
    <n v="0"/>
    <n v="1610612747"/>
    <s v="LAL"/>
    <n v="25"/>
    <n v="82"/>
    <n v="19"/>
    <n v="2397"/>
    <n v="477"/>
    <n v="1071"/>
    <n v="0.44500000000000001"/>
    <n v="117"/>
    <n v="356"/>
    <n v="0.32900000000000001"/>
    <n v="134"/>
    <n v="168"/>
    <n v="0.79800000000000004"/>
    <n v="49"/>
    <n v="197"/>
    <n v="246"/>
    <n v="213"/>
    <n v="88"/>
    <n v="8"/>
    <n v="164"/>
    <n v="150"/>
    <n v="1205"/>
    <x v="0"/>
  </r>
  <r>
    <n v="203903"/>
    <x v="3"/>
    <n v="0"/>
    <n v="1610612747"/>
    <s v="LAL"/>
    <n v="26"/>
    <n v="53"/>
    <n v="2"/>
    <n v="1256"/>
    <n v="299"/>
    <n v="667"/>
    <n v="0.44800000000000001"/>
    <n v="68"/>
    <n v="210"/>
    <n v="0.32400000000000001"/>
    <n v="105"/>
    <n v="132"/>
    <n v="0.79500000000000004"/>
    <n v="44"/>
    <n v="115"/>
    <n v="159"/>
    <n v="173"/>
    <n v="39"/>
    <n v="3"/>
    <n v="95"/>
    <n v="63"/>
    <n v="771"/>
    <x v="0"/>
  </r>
  <r>
    <n v="203903"/>
    <x v="3"/>
    <n v="0"/>
    <n v="1610612739"/>
    <s v="CLE"/>
    <n v="26"/>
    <n v="28"/>
    <n v="0"/>
    <n v="632"/>
    <n v="131"/>
    <n v="287"/>
    <n v="0.45600000000000002"/>
    <n v="44"/>
    <n v="108"/>
    <n v="0.40699999999999997"/>
    <n v="47"/>
    <n v="58"/>
    <n v="0.81"/>
    <n v="13"/>
    <n v="45"/>
    <n v="58"/>
    <n v="48"/>
    <n v="19"/>
    <n v="3"/>
    <n v="32"/>
    <n v="44"/>
    <n v="353"/>
    <x v="0"/>
  </r>
  <r>
    <n v="203903"/>
    <x v="3"/>
    <n v="0"/>
    <n v="0"/>
    <s v="TOT"/>
    <n v="26"/>
    <n v="81"/>
    <n v="2"/>
    <n v="1887"/>
    <n v="430"/>
    <n v="954"/>
    <n v="0.45100000000000001"/>
    <n v="112"/>
    <n v="318"/>
    <n v="0.35199999999999998"/>
    <n v="152"/>
    <n v="190"/>
    <n v="0.8"/>
    <n v="57"/>
    <n v="160"/>
    <n v="217"/>
    <n v="221"/>
    <n v="58"/>
    <n v="6"/>
    <n v="127"/>
    <n v="107"/>
    <n v="1124"/>
    <x v="0"/>
  </r>
  <r>
    <n v="203903"/>
    <x v="4"/>
    <n v="0"/>
    <n v="1610612739"/>
    <s v="CLE"/>
    <n v="27"/>
    <n v="81"/>
    <n v="0"/>
    <n v="2215"/>
    <n v="529"/>
    <n v="1180"/>
    <n v="0.44800000000000001"/>
    <n v="144"/>
    <n v="445"/>
    <n v="0.32400000000000001"/>
    <n v="162"/>
    <n v="192"/>
    <n v="0.84399999999999997"/>
    <n v="82"/>
    <n v="188"/>
    <n v="270"/>
    <n v="196"/>
    <n v="57"/>
    <n v="13"/>
    <n v="135"/>
    <n v="112"/>
    <n v="1364"/>
    <x v="0"/>
  </r>
  <r>
    <n v="203903"/>
    <x v="5"/>
    <n v="0"/>
    <n v="1610612739"/>
    <s v="CLE"/>
    <n v="28"/>
    <n v="29"/>
    <n v="0"/>
    <n v="666"/>
    <n v="144"/>
    <n v="326"/>
    <n v="0.442"/>
    <n v="59"/>
    <n v="159"/>
    <n v="0.371"/>
    <n v="76"/>
    <n v="86"/>
    <n v="0.88400000000000001"/>
    <n v="21"/>
    <n v="48"/>
    <n v="69"/>
    <n v="70"/>
    <n v="17"/>
    <n v="8"/>
    <n v="39"/>
    <n v="33"/>
    <n v="423"/>
    <x v="0"/>
  </r>
  <r>
    <n v="203903"/>
    <x v="5"/>
    <n v="0"/>
    <n v="1610612762"/>
    <s v="UTA"/>
    <n v="28"/>
    <n v="42"/>
    <n v="2"/>
    <n v="1039"/>
    <n v="250"/>
    <n v="541"/>
    <n v="0.46200000000000002"/>
    <n v="93"/>
    <n v="254"/>
    <n v="0.36599999999999999"/>
    <n v="62"/>
    <n v="79"/>
    <n v="0.78500000000000003"/>
    <n v="29"/>
    <n v="89"/>
    <n v="118"/>
    <n v="66"/>
    <n v="29"/>
    <n v="8"/>
    <n v="58"/>
    <n v="75"/>
    <n v="655"/>
    <x v="0"/>
  </r>
  <r>
    <n v="203903"/>
    <x v="5"/>
    <n v="0"/>
    <n v="0"/>
    <s v="TOT"/>
    <n v="28"/>
    <n v="71"/>
    <n v="2"/>
    <n v="1705"/>
    <n v="394"/>
    <n v="867"/>
    <n v="0.45400000000000001"/>
    <n v="152"/>
    <n v="413"/>
    <n v="0.36799999999999999"/>
    <n v="138"/>
    <n v="165"/>
    <n v="0.83599999999999997"/>
    <n v="50"/>
    <n v="137"/>
    <n v="187"/>
    <n v="136"/>
    <n v="46"/>
    <n v="16"/>
    <n v="97"/>
    <n v="108"/>
    <n v="1078"/>
    <x v="0"/>
  </r>
  <r>
    <n v="203903"/>
    <x v="6"/>
    <n v="0"/>
    <n v="1610612762"/>
    <s v="UTA"/>
    <n v="29"/>
    <n v="68"/>
    <n v="1"/>
    <n v="1818"/>
    <n v="457"/>
    <n v="1075"/>
    <n v="0.42499999999999999"/>
    <n v="208"/>
    <n v="599"/>
    <n v="0.34699999999999998"/>
    <n v="129"/>
    <n v="144"/>
    <n v="0.89600000000000002"/>
    <n v="47"/>
    <n v="227"/>
    <n v="274"/>
    <n v="168"/>
    <n v="61"/>
    <n v="10"/>
    <n v="115"/>
    <n v="110"/>
    <n v="1251"/>
    <x v="0"/>
  </r>
  <r>
    <n v="203903"/>
    <x v="7"/>
    <n v="0"/>
    <n v="1610612762"/>
    <s v="UTA"/>
    <n v="30"/>
    <n v="79"/>
    <n v="1"/>
    <n v="2141"/>
    <n v="466"/>
    <n v="1113"/>
    <n v="0.41899999999999998"/>
    <n v="190"/>
    <n v="597"/>
    <n v="0.318"/>
    <n v="144"/>
    <n v="174"/>
    <n v="0.82799999999999996"/>
    <n v="67"/>
    <n v="206"/>
    <n v="273"/>
    <n v="194"/>
    <n v="66"/>
    <n v="16"/>
    <n v="129"/>
    <n v="149"/>
    <n v="1266"/>
    <x v="0"/>
  </r>
  <r>
    <n v="203903"/>
    <x v="8"/>
    <n v="0"/>
    <n v="1610612762"/>
    <s v="UTA"/>
    <n v="31"/>
    <n v="61"/>
    <n v="61"/>
    <n v="1988"/>
    <n v="458"/>
    <n v="1031"/>
    <n v="0.44400000000000001"/>
    <n v="155"/>
    <n v="459"/>
    <n v="0.33800000000000002"/>
    <n v="200"/>
    <n v="245"/>
    <n v="0.81599999999999995"/>
    <n v="72"/>
    <n v="174"/>
    <n v="246"/>
    <n v="270"/>
    <n v="33"/>
    <n v="13"/>
    <n v="186"/>
    <n v="120"/>
    <n v="1271"/>
    <x v="0"/>
  </r>
  <r>
    <n v="203903"/>
    <x v="9"/>
    <n v="0"/>
    <n v="1610612762"/>
    <s v="UTA"/>
    <n v="32"/>
    <n v="55"/>
    <n v="19"/>
    <n v="1682"/>
    <n v="337"/>
    <n v="816"/>
    <n v="0.41299999999999998"/>
    <n v="91"/>
    <n v="309"/>
    <n v="0.29399999999999998"/>
    <n v="177"/>
    <n v="201"/>
    <n v="0.88100000000000001"/>
    <n v="49"/>
    <n v="139"/>
    <n v="188"/>
    <n v="277"/>
    <n v="35"/>
    <n v="6"/>
    <n v="146"/>
    <n v="81"/>
    <n v="942"/>
    <x v="0"/>
  </r>
  <r>
    <n v="203903"/>
    <x v="10"/>
    <n v="0"/>
    <n v="1610612762"/>
    <s v="UTA"/>
    <n v="33"/>
    <n v="37"/>
    <n v="9"/>
    <n v="962"/>
    <n v="201"/>
    <n v="493"/>
    <n v="0.40799999999999997"/>
    <n v="84"/>
    <n v="232"/>
    <n v="0.36199999999999999"/>
    <n v="114"/>
    <n v="143"/>
    <n v="0.79700000000000004"/>
    <n v="25"/>
    <n v="93"/>
    <n v="118"/>
    <n v="138"/>
    <n v="31"/>
    <n v="9"/>
    <n v="86"/>
    <n v="52"/>
    <n v="600"/>
    <x v="0"/>
  </r>
  <r>
    <n v="203903"/>
    <x v="11"/>
    <n v="0"/>
    <n v="1610612752"/>
    <s v="NYK"/>
    <n v="34"/>
    <n v="72"/>
    <n v="1"/>
    <n v="1279"/>
    <n v="237"/>
    <n v="526"/>
    <n v="0.45100000000000001"/>
    <n v="70"/>
    <n v="214"/>
    <n v="0.32700000000000001"/>
    <n v="78"/>
    <n v="94"/>
    <n v="0.83"/>
    <n v="62"/>
    <n v="65"/>
    <n v="127"/>
    <n v="96"/>
    <n v="30"/>
    <n v="9"/>
    <n v="63"/>
    <n v="123"/>
    <n v="622"/>
    <x v="0"/>
  </r>
  <r>
    <n v="1641794"/>
    <x v="10"/>
    <n v="0"/>
    <n v="1610612760"/>
    <s v="OKC"/>
    <n v="23"/>
    <n v="54"/>
    <n v="3"/>
    <n v="552"/>
    <n v="51"/>
    <n v="133"/>
    <n v="0.38300000000000001"/>
    <n v="16"/>
    <n v="63"/>
    <n v="0.254"/>
    <n v="17"/>
    <n v="28"/>
    <n v="0.60699999999999998"/>
    <n v="30"/>
    <n v="91"/>
    <n v="121"/>
    <n v="58"/>
    <n v="16"/>
    <n v="4"/>
    <n v="28"/>
    <n v="54"/>
    <n v="135"/>
    <x v="1"/>
  </r>
  <r>
    <n v="1641794"/>
    <x v="11"/>
    <n v="0"/>
    <n v="1610612752"/>
    <s v="NYK"/>
    <n v="24"/>
    <n v="7"/>
    <n v="0"/>
    <n v="39"/>
    <n v="2"/>
    <n v="9"/>
    <n v="0.222"/>
    <n v="1"/>
    <n v="5"/>
    <n v="0.2"/>
    <n v="4"/>
    <n v="4"/>
    <n v="1"/>
    <n v="2"/>
    <n v="5"/>
    <n v="7"/>
    <n v="4"/>
    <n v="3"/>
    <n v="0"/>
    <n v="0"/>
    <n v="6"/>
    <n v="9"/>
    <x v="1"/>
  </r>
  <r>
    <n v="1630540"/>
    <x v="7"/>
    <n v="0"/>
    <n v="1610612752"/>
    <s v="NYK"/>
    <n v="21"/>
    <n v="40"/>
    <n v="2"/>
    <n v="372"/>
    <n v="32"/>
    <n v="108"/>
    <n v="0.29599999999999999"/>
    <n v="17"/>
    <n v="68"/>
    <n v="0.25"/>
    <n v="8"/>
    <n v="12"/>
    <n v="0.66700000000000004"/>
    <n v="4"/>
    <n v="38"/>
    <n v="42"/>
    <n v="41"/>
    <n v="14"/>
    <n v="1"/>
    <n v="5"/>
    <n v="45"/>
    <n v="89"/>
    <x v="2"/>
  </r>
  <r>
    <n v="1630540"/>
    <x v="8"/>
    <n v="0"/>
    <n v="1610612752"/>
    <s v="NYK"/>
    <n v="22"/>
    <n v="64"/>
    <n v="2"/>
    <n v="760"/>
    <n v="77"/>
    <n v="215"/>
    <n v="0.35799999999999998"/>
    <n v="40"/>
    <n v="134"/>
    <n v="0.29899999999999999"/>
    <n v="28"/>
    <n v="42"/>
    <n v="0.66700000000000004"/>
    <n v="13"/>
    <n v="37"/>
    <n v="50"/>
    <n v="72"/>
    <n v="37"/>
    <n v="8"/>
    <n v="25"/>
    <n v="60"/>
    <n v="222"/>
    <x v="2"/>
  </r>
  <r>
    <n v="1630540"/>
    <x v="9"/>
    <n v="0"/>
    <n v="1610612752"/>
    <s v="NYK"/>
    <n v="23"/>
    <n v="68"/>
    <n v="14"/>
    <n v="1328"/>
    <n v="205"/>
    <n v="454"/>
    <n v="0.45200000000000001"/>
    <n v="109"/>
    <n v="266"/>
    <n v="0.41"/>
    <n v="43"/>
    <n v="50"/>
    <n v="0.86"/>
    <n v="31"/>
    <n v="69"/>
    <n v="100"/>
    <n v="114"/>
    <n v="50"/>
    <n v="7"/>
    <n v="30"/>
    <n v="108"/>
    <n v="562"/>
    <x v="2"/>
  </r>
  <r>
    <n v="1630540"/>
    <x v="10"/>
    <n v="0"/>
    <n v="1610612752"/>
    <s v="NYK"/>
    <n v="24"/>
    <n v="64"/>
    <n v="10"/>
    <n v="1593"/>
    <n v="222"/>
    <n v="547"/>
    <n v="0.40600000000000003"/>
    <n v="115"/>
    <n v="312"/>
    <n v="0.36899999999999999"/>
    <n v="52"/>
    <n v="64"/>
    <n v="0.81299999999999994"/>
    <n v="47"/>
    <n v="114"/>
    <n v="161"/>
    <n v="187"/>
    <n v="67"/>
    <n v="17"/>
    <n v="41"/>
    <n v="108"/>
    <n v="611"/>
    <x v="2"/>
  </r>
  <r>
    <n v="1630540"/>
    <x v="11"/>
    <n v="0"/>
    <n v="1610612752"/>
    <s v="NYK"/>
    <n v="25"/>
    <n v="41"/>
    <n v="15"/>
    <n v="1080"/>
    <n v="171"/>
    <n v="404"/>
    <n v="0.42299999999999999"/>
    <n v="112"/>
    <n v="271"/>
    <n v="0.41299999999999998"/>
    <n v="37"/>
    <n v="47"/>
    <n v="0.78700000000000003"/>
    <n v="24"/>
    <n v="76"/>
    <n v="100"/>
    <n v="106"/>
    <n v="35"/>
    <n v="9"/>
    <n v="33"/>
    <n v="70"/>
    <n v="491"/>
    <x v="2"/>
  </r>
  <r>
    <n v="1628404"/>
    <x v="3"/>
    <n v="0"/>
    <n v="1610612747"/>
    <s v="LAL"/>
    <n v="23"/>
    <n v="63"/>
    <n v="23"/>
    <n v="1461"/>
    <n v="176"/>
    <n v="375"/>
    <n v="0.46899999999999997"/>
    <n v="78"/>
    <n v="197"/>
    <n v="0.39600000000000002"/>
    <n v="66"/>
    <n v="94"/>
    <n v="0.70199999999999996"/>
    <n v="42"/>
    <n v="221"/>
    <n v="263"/>
    <n v="80"/>
    <n v="47"/>
    <n v="16"/>
    <n v="47"/>
    <n v="107"/>
    <n v="496"/>
    <x v="3"/>
  </r>
  <r>
    <n v="1628404"/>
    <x v="4"/>
    <n v="0"/>
    <n v="1610612747"/>
    <s v="LAL"/>
    <n v="24"/>
    <n v="67"/>
    <n v="22"/>
    <n v="1715"/>
    <n v="189"/>
    <n v="464"/>
    <n v="0.40699999999999997"/>
    <n v="92"/>
    <n v="274"/>
    <n v="0.33600000000000002"/>
    <n v="55"/>
    <n v="80"/>
    <n v="0.68799999999999994"/>
    <n v="35"/>
    <n v="213"/>
    <n v="248"/>
    <n v="93"/>
    <n v="64"/>
    <n v="40"/>
    <n v="58"/>
    <n v="147"/>
    <n v="525"/>
    <x v="3"/>
  </r>
  <r>
    <n v="1628404"/>
    <x v="5"/>
    <n v="0"/>
    <n v="1610612740"/>
    <s v="NOP"/>
    <n v="25"/>
    <n v="65"/>
    <n v="16"/>
    <n v="1755"/>
    <n v="225"/>
    <n v="532"/>
    <n v="0.42299999999999999"/>
    <n v="121"/>
    <n v="354"/>
    <n v="0.34200000000000003"/>
    <n v="85"/>
    <n v="115"/>
    <n v="0.73899999999999999"/>
    <n v="61"/>
    <n v="364"/>
    <n v="425"/>
    <n v="108"/>
    <n v="63"/>
    <n v="23"/>
    <n v="75"/>
    <n v="160"/>
    <n v="656"/>
    <x v="3"/>
  </r>
  <r>
    <n v="1628404"/>
    <x v="6"/>
    <n v="0"/>
    <n v="1610612740"/>
    <s v="NOP"/>
    <n v="26"/>
    <n v="47"/>
    <n v="4"/>
    <n v="1350"/>
    <n v="151"/>
    <n v="344"/>
    <n v="0.439"/>
    <n v="63"/>
    <n v="193"/>
    <n v="0.32600000000000001"/>
    <n v="69"/>
    <n v="89"/>
    <n v="0.77500000000000002"/>
    <n v="53"/>
    <n v="324"/>
    <n v="377"/>
    <n v="109"/>
    <n v="38"/>
    <n v="12"/>
    <n v="49"/>
    <n v="111"/>
    <n v="434"/>
    <x v="3"/>
  </r>
  <r>
    <n v="1628404"/>
    <x v="7"/>
    <n v="0"/>
    <n v="1610612740"/>
    <s v="NOP"/>
    <n v="27"/>
    <n v="41"/>
    <n v="40"/>
    <n v="1374"/>
    <n v="195"/>
    <n v="386"/>
    <n v="0.505"/>
    <n v="42"/>
    <n v="130"/>
    <n v="0.32300000000000001"/>
    <n v="116"/>
    <n v="154"/>
    <n v="0.753"/>
    <n v="53"/>
    <n v="265"/>
    <n v="318"/>
    <n v="168"/>
    <n v="45"/>
    <n v="11"/>
    <n v="81"/>
    <n v="118"/>
    <n v="548"/>
    <x v="3"/>
  </r>
  <r>
    <n v="1628404"/>
    <x v="7"/>
    <n v="0"/>
    <n v="1610612757"/>
    <s v="POR"/>
    <n v="27"/>
    <n v="13"/>
    <n v="13"/>
    <n v="417"/>
    <n v="92"/>
    <n v="183"/>
    <n v="0.503"/>
    <n v="31"/>
    <n v="83"/>
    <n v="0.373"/>
    <n v="44"/>
    <n v="57"/>
    <n v="0.77200000000000002"/>
    <n v="9"/>
    <n v="61"/>
    <n v="70"/>
    <n v="56"/>
    <n v="16"/>
    <n v="2"/>
    <n v="33"/>
    <n v="32"/>
    <n v="259"/>
    <x v="3"/>
  </r>
  <r>
    <n v="1628404"/>
    <x v="7"/>
    <n v="0"/>
    <n v="0"/>
    <s v="TOT"/>
    <n v="27"/>
    <n v="54"/>
    <n v="53"/>
    <n v="1791"/>
    <n v="287"/>
    <n v="569"/>
    <n v="0.504"/>
    <n v="73"/>
    <n v="213"/>
    <n v="0.34300000000000003"/>
    <n v="160"/>
    <n v="211"/>
    <n v="0.75800000000000001"/>
    <n v="62"/>
    <n v="326"/>
    <n v="388"/>
    <n v="224"/>
    <n v="61"/>
    <n v="13"/>
    <n v="114"/>
    <n v="150"/>
    <n v="807"/>
    <x v="3"/>
  </r>
  <r>
    <n v="1628404"/>
    <x v="8"/>
    <n v="0"/>
    <n v="1610612757"/>
    <s v="POR"/>
    <n v="28"/>
    <n v="51"/>
    <n v="51"/>
    <n v="1704"/>
    <n v="183"/>
    <n v="363"/>
    <n v="0.504"/>
    <n v="34"/>
    <n v="112"/>
    <n v="0.30399999999999999"/>
    <n v="87"/>
    <n v="119"/>
    <n v="0.73099999999999998"/>
    <n v="95"/>
    <n v="322"/>
    <n v="417"/>
    <n v="200"/>
    <n v="54"/>
    <n v="9"/>
    <n v="79"/>
    <n v="133"/>
    <n v="487"/>
    <x v="3"/>
  </r>
  <r>
    <n v="1628404"/>
    <x v="8"/>
    <n v="0"/>
    <n v="1610612752"/>
    <s v="NYK"/>
    <n v="28"/>
    <n v="25"/>
    <n v="1"/>
    <n v="750"/>
    <n v="92"/>
    <n v="157"/>
    <n v="0.58599999999999997"/>
    <n v="27"/>
    <n v="52"/>
    <n v="0.51900000000000002"/>
    <n v="45"/>
    <n v="57"/>
    <n v="0.78900000000000003"/>
    <n v="47"/>
    <n v="129"/>
    <n v="176"/>
    <n v="90"/>
    <n v="34"/>
    <n v="12"/>
    <n v="38"/>
    <n v="62"/>
    <n v="256"/>
    <x v="3"/>
  </r>
  <r>
    <n v="1628404"/>
    <x v="8"/>
    <n v="0"/>
    <n v="0"/>
    <s v="TOT"/>
    <n v="28"/>
    <n v="76"/>
    <n v="52"/>
    <n v="2454"/>
    <n v="275"/>
    <n v="520"/>
    <n v="0.52900000000000003"/>
    <n v="61"/>
    <n v="164"/>
    <n v="0.372"/>
    <n v="132"/>
    <n v="176"/>
    <n v="0.75"/>
    <n v="142"/>
    <n v="451"/>
    <n v="593"/>
    <n v="290"/>
    <n v="88"/>
    <n v="21"/>
    <n v="117"/>
    <n v="195"/>
    <n v="743"/>
    <x v="3"/>
  </r>
  <r>
    <n v="1628404"/>
    <x v="9"/>
    <n v="0"/>
    <n v="1610612752"/>
    <s v="NYK"/>
    <n v="29"/>
    <n v="81"/>
    <n v="42"/>
    <n v="2707"/>
    <n v="295"/>
    <n v="679"/>
    <n v="0.434"/>
    <n v="80"/>
    <n v="258"/>
    <n v="0.31"/>
    <n v="91"/>
    <n v="115"/>
    <n v="0.79100000000000004"/>
    <n v="128"/>
    <n v="547"/>
    <n v="675"/>
    <n v="331"/>
    <n v="75"/>
    <n v="23"/>
    <n v="118"/>
    <n v="171"/>
    <n v="761"/>
    <x v="3"/>
  </r>
  <r>
    <n v="1628404"/>
    <x v="10"/>
    <n v="0"/>
    <n v="1610612752"/>
    <s v="NYK"/>
    <n v="30"/>
    <n v="77"/>
    <n v="77"/>
    <n v="2897"/>
    <n v="404"/>
    <n v="770"/>
    <n v="0.52500000000000002"/>
    <n v="84"/>
    <n v="252"/>
    <n v="0.33300000000000002"/>
    <n v="159"/>
    <n v="205"/>
    <n v="0.77600000000000002"/>
    <n v="161"/>
    <n v="576"/>
    <n v="737"/>
    <n v="453"/>
    <n v="119"/>
    <n v="27"/>
    <n v="158"/>
    <n v="201"/>
    <n v="1051"/>
    <x v="3"/>
  </r>
  <r>
    <n v="1628404"/>
    <x v="11"/>
    <n v="0"/>
    <n v="1610612752"/>
    <s v="NYK"/>
    <n v="31"/>
    <n v="66"/>
    <n v="52"/>
    <n v="1994"/>
    <n v="301"/>
    <n v="592"/>
    <n v="0.50800000000000001"/>
    <n v="100"/>
    <n v="242"/>
    <n v="0.41299999999999998"/>
    <n v="90"/>
    <n v="125"/>
    <n v="0.72"/>
    <n v="93"/>
    <n v="393"/>
    <n v="486"/>
    <n v="317"/>
    <n v="75"/>
    <n v="17"/>
    <n v="128"/>
    <n v="165"/>
    <n v="792"/>
    <x v="3"/>
  </r>
  <r>
    <n v="1642359"/>
    <x v="10"/>
    <n v="0"/>
    <n v="1610612752"/>
    <s v="NYK"/>
    <n v="19"/>
    <n v="18"/>
    <n v="0"/>
    <n v="111"/>
    <n v="10"/>
    <n v="31"/>
    <n v="0.32300000000000001"/>
    <n v="6"/>
    <n v="19"/>
    <n v="0.316"/>
    <n v="4"/>
    <n v="6"/>
    <n v="0.66700000000000004"/>
    <n v="3"/>
    <n v="15"/>
    <n v="18"/>
    <n v="5"/>
    <n v="3"/>
    <n v="2"/>
    <n v="4"/>
    <n v="7"/>
    <n v="30"/>
    <x v="4"/>
  </r>
  <r>
    <n v="1642359"/>
    <x v="11"/>
    <n v="0"/>
    <n v="1610612752"/>
    <s v="NYK"/>
    <n v="20"/>
    <n v="29"/>
    <n v="0"/>
    <n v="136"/>
    <n v="16"/>
    <n v="48"/>
    <n v="0.33300000000000002"/>
    <n v="7"/>
    <n v="32"/>
    <n v="0.219"/>
    <n v="9"/>
    <n v="11"/>
    <n v="0.81799999999999995"/>
    <n v="4"/>
    <n v="23"/>
    <n v="27"/>
    <n v="12"/>
    <n v="3"/>
    <n v="1"/>
    <n v="3"/>
    <n v="8"/>
    <n v="48"/>
    <x v="4"/>
  </r>
  <r>
    <n v="1630631"/>
    <x v="7"/>
    <n v="0"/>
    <n v="1610612740"/>
    <s v="NOP"/>
    <n v="24"/>
    <n v="54"/>
    <n v="1"/>
    <n v="834"/>
    <n v="131"/>
    <n v="294"/>
    <n v="0.44600000000000001"/>
    <n v="32"/>
    <n v="110"/>
    <n v="0.29099999999999998"/>
    <n v="36"/>
    <n v="53"/>
    <n v="0.67900000000000005"/>
    <n v="25"/>
    <n v="75"/>
    <n v="100"/>
    <n v="152"/>
    <n v="71"/>
    <n v="7"/>
    <n v="40"/>
    <n v="73"/>
    <n v="330"/>
    <x v="5"/>
  </r>
  <r>
    <n v="1630631"/>
    <x v="8"/>
    <n v="0"/>
    <n v="1610612740"/>
    <s v="NOP"/>
    <n v="25"/>
    <n v="61"/>
    <n v="10"/>
    <n v="1310"/>
    <n v="201"/>
    <n v="489"/>
    <n v="0.41099999999999998"/>
    <n v="83"/>
    <n v="247"/>
    <n v="0.33600000000000002"/>
    <n v="65"/>
    <n v="80"/>
    <n v="0.81299999999999994"/>
    <n v="28"/>
    <n v="113"/>
    <n v="141"/>
    <n v="186"/>
    <n v="67"/>
    <n v="10"/>
    <n v="81"/>
    <n v="125"/>
    <n v="550"/>
    <x v="5"/>
  </r>
  <r>
    <n v="1630631"/>
    <x v="9"/>
    <n v="0"/>
    <n v="1610612740"/>
    <s v="NOP"/>
    <n v="26"/>
    <n v="56"/>
    <n v="0"/>
    <n v="1028"/>
    <n v="142"/>
    <n v="345"/>
    <n v="0.41199999999999998"/>
    <n v="78"/>
    <n v="207"/>
    <n v="0.377"/>
    <n v="35"/>
    <n v="52"/>
    <n v="0.67300000000000004"/>
    <n v="25"/>
    <n v="103"/>
    <n v="128"/>
    <n v="117"/>
    <n v="59"/>
    <n v="15"/>
    <n v="40"/>
    <n v="89"/>
    <n v="397"/>
    <x v="5"/>
  </r>
  <r>
    <n v="1630631"/>
    <x v="10"/>
    <n v="0"/>
    <n v="1610612740"/>
    <s v="NOP"/>
    <n v="27"/>
    <n v="56"/>
    <n v="23"/>
    <n v="1366"/>
    <n v="204"/>
    <n v="521"/>
    <n v="0.39200000000000002"/>
    <n v="111"/>
    <n v="309"/>
    <n v="0.35899999999999999"/>
    <n v="60"/>
    <n v="74"/>
    <n v="0.81100000000000005"/>
    <n v="27"/>
    <n v="109"/>
    <n v="136"/>
    <n v="259"/>
    <n v="74"/>
    <n v="14"/>
    <n v="86"/>
    <n v="91"/>
    <n v="579"/>
    <x v="5"/>
  </r>
  <r>
    <n v="1630631"/>
    <x v="11"/>
    <n v="0"/>
    <n v="1610612740"/>
    <s v="NOP"/>
    <n v="28"/>
    <n v="41"/>
    <n v="0"/>
    <n v="896"/>
    <n v="117"/>
    <n v="280"/>
    <n v="0.41799999999999998"/>
    <n v="70"/>
    <n v="193"/>
    <n v="0.36299999999999999"/>
    <n v="20"/>
    <n v="24"/>
    <n v="0.83299999999999996"/>
    <n v="16"/>
    <n v="98"/>
    <n v="114"/>
    <n v="128"/>
    <n v="37"/>
    <n v="4"/>
    <n v="47"/>
    <n v="80"/>
    <n v="324"/>
    <x v="5"/>
  </r>
  <r>
    <n v="1630631"/>
    <x v="11"/>
    <n v="0"/>
    <n v="1610612752"/>
    <s v="NYK"/>
    <n v="28"/>
    <n v="28"/>
    <n v="3"/>
    <n v="474"/>
    <n v="70"/>
    <n v="169"/>
    <n v="0.41399999999999998"/>
    <n v="31"/>
    <n v="94"/>
    <n v="0.33"/>
    <n v="15"/>
    <n v="22"/>
    <n v="0.68200000000000005"/>
    <n v="10"/>
    <n v="47"/>
    <n v="57"/>
    <n v="106"/>
    <n v="29"/>
    <n v="4"/>
    <n v="30"/>
    <n v="49"/>
    <n v="186"/>
    <x v="5"/>
  </r>
  <r>
    <n v="1630631"/>
    <x v="11"/>
    <n v="0"/>
    <n v="0"/>
    <s v="TOT"/>
    <n v="28"/>
    <n v="69"/>
    <n v="3"/>
    <n v="1370"/>
    <n v="187"/>
    <n v="449"/>
    <n v="0.41599999999999998"/>
    <n v="101"/>
    <n v="287"/>
    <n v="0.35199999999999998"/>
    <n v="35"/>
    <n v="46"/>
    <n v="0.76100000000000001"/>
    <n v="26"/>
    <n v="145"/>
    <n v="171"/>
    <n v="234"/>
    <n v="66"/>
    <n v="8"/>
    <n v="77"/>
    <n v="129"/>
    <n v="510"/>
    <x v="5"/>
  </r>
  <r>
    <n v="1628384"/>
    <x v="3"/>
    <n v="0"/>
    <n v="1610612761"/>
    <s v="TOR"/>
    <n v="20"/>
    <n v="74"/>
    <n v="62"/>
    <n v="1481"/>
    <n v="163"/>
    <n v="346"/>
    <n v="0.47099999999999997"/>
    <n v="73"/>
    <n v="197"/>
    <n v="0.371"/>
    <n v="39"/>
    <n v="62"/>
    <n v="0.629"/>
    <n v="44"/>
    <n v="140"/>
    <n v="184"/>
    <n v="55"/>
    <n v="52"/>
    <n v="14"/>
    <n v="45"/>
    <n v="130"/>
    <n v="438"/>
    <x v="6"/>
  </r>
  <r>
    <n v="1628384"/>
    <x v="4"/>
    <n v="0"/>
    <n v="1610612761"/>
    <s v="TOR"/>
    <n v="21"/>
    <n v="67"/>
    <n v="6"/>
    <n v="1352"/>
    <n v="183"/>
    <n v="404"/>
    <n v="0.45300000000000001"/>
    <n v="67"/>
    <n v="202"/>
    <n v="0.33200000000000002"/>
    <n v="36"/>
    <n v="62"/>
    <n v="0.58099999999999996"/>
    <n v="58"/>
    <n v="139"/>
    <n v="197"/>
    <n v="47"/>
    <n v="46"/>
    <n v="22"/>
    <n v="55"/>
    <n v="140"/>
    <n v="469"/>
    <x v="6"/>
  </r>
  <r>
    <n v="1628384"/>
    <x v="5"/>
    <n v="0"/>
    <n v="1610612761"/>
    <s v="TOR"/>
    <n v="22"/>
    <n v="69"/>
    <n v="68"/>
    <n v="2066"/>
    <n v="286"/>
    <n v="566"/>
    <n v="0.505"/>
    <n v="89"/>
    <n v="228"/>
    <n v="0.39"/>
    <n v="72"/>
    <n v="102"/>
    <n v="0.70599999999999996"/>
    <n v="80"/>
    <n v="284"/>
    <n v="364"/>
    <n v="108"/>
    <n v="96"/>
    <n v="45"/>
    <n v="79"/>
    <n v="167"/>
    <n v="733"/>
    <x v="6"/>
  </r>
  <r>
    <n v="1628384"/>
    <x v="6"/>
    <n v="0"/>
    <n v="1610612761"/>
    <s v="TOR"/>
    <n v="23"/>
    <n v="43"/>
    <n v="43"/>
    <n v="1433"/>
    <n v="249"/>
    <n v="519"/>
    <n v="0.48"/>
    <n v="104"/>
    <n v="261"/>
    <n v="0.39800000000000002"/>
    <n v="80"/>
    <n v="102"/>
    <n v="0.78400000000000003"/>
    <n v="54"/>
    <n v="183"/>
    <n v="237"/>
    <n v="94"/>
    <n v="66"/>
    <n v="32"/>
    <n v="75"/>
    <n v="114"/>
    <n v="682"/>
    <x v="6"/>
  </r>
  <r>
    <n v="1628384"/>
    <x v="7"/>
    <n v="0"/>
    <n v="1610612761"/>
    <s v="TOR"/>
    <n v="24"/>
    <n v="48"/>
    <n v="48"/>
    <n v="1728"/>
    <n v="309"/>
    <n v="697"/>
    <n v="0.443"/>
    <n v="115"/>
    <n v="317"/>
    <n v="0.36299999999999999"/>
    <n v="89"/>
    <n v="118"/>
    <n v="0.754"/>
    <n v="74"/>
    <n v="190"/>
    <n v="264"/>
    <n v="125"/>
    <n v="71"/>
    <n v="25"/>
    <n v="80"/>
    <n v="131"/>
    <n v="822"/>
    <x v="6"/>
  </r>
  <r>
    <n v="1628384"/>
    <x v="8"/>
    <n v="0"/>
    <n v="1610612761"/>
    <s v="TOR"/>
    <n v="25"/>
    <n v="67"/>
    <n v="67"/>
    <n v="2386"/>
    <n v="421"/>
    <n v="885"/>
    <n v="0.47599999999999998"/>
    <n v="142"/>
    <n v="367"/>
    <n v="0.38700000000000001"/>
    <n v="140"/>
    <n v="167"/>
    <n v="0.83799999999999997"/>
    <n v="95"/>
    <n v="237"/>
    <n v="332"/>
    <n v="131"/>
    <n v="128"/>
    <n v="50"/>
    <n v="132"/>
    <n v="200"/>
    <n v="1124"/>
    <x v="6"/>
  </r>
  <r>
    <n v="1628384"/>
    <x v="9"/>
    <n v="0"/>
    <n v="1610612761"/>
    <s v="TOR"/>
    <n v="26"/>
    <n v="27"/>
    <n v="27"/>
    <n v="900"/>
    <n v="157"/>
    <n v="321"/>
    <n v="0.48899999999999999"/>
    <n v="61"/>
    <n v="163"/>
    <n v="0.374"/>
    <n v="33"/>
    <n v="46"/>
    <n v="0.71699999999999997"/>
    <n v="24"/>
    <n v="82"/>
    <n v="106"/>
    <n v="72"/>
    <n v="28"/>
    <n v="13"/>
    <n v="43"/>
    <n v="62"/>
    <n v="408"/>
    <x v="6"/>
  </r>
  <r>
    <n v="1628384"/>
    <x v="9"/>
    <n v="0"/>
    <n v="1610612752"/>
    <s v="NYK"/>
    <n v="26"/>
    <n v="23"/>
    <n v="23"/>
    <n v="802"/>
    <n v="125"/>
    <n v="256"/>
    <n v="0.48799999999999999"/>
    <n v="41"/>
    <n v="104"/>
    <n v="0.39400000000000002"/>
    <n v="34"/>
    <n v="43"/>
    <n v="0.79100000000000004"/>
    <n v="23"/>
    <n v="79"/>
    <n v="102"/>
    <n v="35"/>
    <n v="40"/>
    <n v="23"/>
    <n v="38"/>
    <n v="57"/>
    <n v="325"/>
    <x v="6"/>
  </r>
  <r>
    <n v="1628384"/>
    <x v="9"/>
    <n v="0"/>
    <n v="0"/>
    <s v="TOT"/>
    <n v="26"/>
    <n v="50"/>
    <n v="50"/>
    <n v="1702"/>
    <n v="282"/>
    <n v="577"/>
    <n v="0.48899999999999999"/>
    <n v="102"/>
    <n v="267"/>
    <n v="0.38200000000000001"/>
    <n v="67"/>
    <n v="89"/>
    <n v="0.753"/>
    <n v="47"/>
    <n v="161"/>
    <n v="208"/>
    <n v="107"/>
    <n v="68"/>
    <n v="36"/>
    <n v="81"/>
    <n v="119"/>
    <n v="733"/>
    <x v="6"/>
  </r>
  <r>
    <n v="1628384"/>
    <x v="10"/>
    <n v="0"/>
    <n v="1610612752"/>
    <s v="NYK"/>
    <n v="27"/>
    <n v="74"/>
    <n v="74"/>
    <n v="2706"/>
    <n v="489"/>
    <n v="1027"/>
    <n v="0.47599999999999998"/>
    <n v="171"/>
    <n v="460"/>
    <n v="0.372"/>
    <n v="183"/>
    <n v="226"/>
    <n v="0.81"/>
    <n v="97"/>
    <n v="261"/>
    <n v="358"/>
    <n v="164"/>
    <n v="110"/>
    <n v="65"/>
    <n v="102"/>
    <n v="172"/>
    <n v="1332"/>
    <x v="6"/>
  </r>
  <r>
    <n v="1628384"/>
    <x v="11"/>
    <n v="0"/>
    <n v="1610612752"/>
    <s v="NYK"/>
    <n v="28"/>
    <n v="67"/>
    <n v="67"/>
    <n v="2224"/>
    <n v="389"/>
    <n v="804"/>
    <n v="0.48399999999999999"/>
    <n v="157"/>
    <n v="407"/>
    <n v="0.38600000000000001"/>
    <n v="183"/>
    <n v="221"/>
    <n v="0.82799999999999996"/>
    <n v="85"/>
    <n v="266"/>
    <n v="351"/>
    <n v="145"/>
    <n v="104"/>
    <n v="48"/>
    <n v="123"/>
    <n v="164"/>
    <n v="1118"/>
    <x v="6"/>
  </r>
  <r>
    <n v="1641755"/>
    <x v="10"/>
    <n v="0"/>
    <n v="1610612752"/>
    <s v="NYK"/>
    <n v="24"/>
    <n v="4"/>
    <n v="0"/>
    <n v="29"/>
    <n v="2"/>
    <n v="7"/>
    <n v="0.28599999999999998"/>
    <n v="0"/>
    <n v="1"/>
    <n v="0"/>
    <n v="2"/>
    <n v="2"/>
    <n v="1"/>
    <n v="0"/>
    <n v="8"/>
    <n v="8"/>
    <n v="2"/>
    <n v="1"/>
    <n v="1"/>
    <n v="0"/>
    <n v="6"/>
    <n v="6"/>
    <x v="7"/>
  </r>
  <r>
    <n v="1641755"/>
    <x v="11"/>
    <n v="0"/>
    <n v="1610612752"/>
    <s v="NYK"/>
    <n v="25"/>
    <n v="21"/>
    <n v="0"/>
    <n v="155"/>
    <n v="20"/>
    <n v="47"/>
    <n v="0.42599999999999999"/>
    <n v="8"/>
    <n v="24"/>
    <n v="0.33300000000000002"/>
    <n v="2"/>
    <n v="5"/>
    <n v="0.4"/>
    <n v="11"/>
    <n v="17"/>
    <n v="28"/>
    <n v="20"/>
    <n v="9"/>
    <n v="0"/>
    <n v="12"/>
    <n v="22"/>
    <n v="50"/>
    <x v="7"/>
  </r>
  <r>
    <n v="1628973"/>
    <x v="4"/>
    <n v="0"/>
    <n v="1610612742"/>
    <s v="DAL"/>
    <n v="22"/>
    <n v="73"/>
    <n v="38"/>
    <n v="1591"/>
    <n v="264"/>
    <n v="565"/>
    <n v="0.46700000000000003"/>
    <n v="63"/>
    <n v="181"/>
    <n v="0.34799999999999998"/>
    <n v="87"/>
    <n v="120"/>
    <n v="0.72499999999999998"/>
    <n v="25"/>
    <n v="144"/>
    <n v="169"/>
    <n v="230"/>
    <n v="37"/>
    <n v="4"/>
    <n v="88"/>
    <n v="127"/>
    <n v="678"/>
    <x v="8"/>
  </r>
  <r>
    <n v="1628973"/>
    <x v="5"/>
    <n v="0"/>
    <n v="1610612742"/>
    <s v="DAL"/>
    <n v="23"/>
    <n v="57"/>
    <n v="16"/>
    <n v="1022"/>
    <n v="181"/>
    <n v="388"/>
    <n v="0.46600000000000003"/>
    <n v="43"/>
    <n v="120"/>
    <n v="0.35799999999999998"/>
    <n v="61"/>
    <n v="75"/>
    <n v="0.81299999999999994"/>
    <n v="22"/>
    <n v="112"/>
    <n v="134"/>
    <n v="188"/>
    <n v="22"/>
    <n v="4"/>
    <n v="66"/>
    <n v="74"/>
    <n v="466"/>
    <x v="8"/>
  </r>
  <r>
    <n v="1628973"/>
    <x v="6"/>
    <n v="0"/>
    <n v="1610612742"/>
    <s v="DAL"/>
    <n v="24"/>
    <n v="68"/>
    <n v="12"/>
    <n v="1697"/>
    <n v="328"/>
    <n v="627"/>
    <n v="0.52300000000000002"/>
    <n v="81"/>
    <n v="200"/>
    <n v="0.40500000000000003"/>
    <n v="120"/>
    <n v="151"/>
    <n v="0.79500000000000004"/>
    <n v="27"/>
    <n v="204"/>
    <n v="231"/>
    <n v="239"/>
    <n v="35"/>
    <n v="1"/>
    <n v="80"/>
    <n v="109"/>
    <n v="857"/>
    <x v="8"/>
  </r>
  <r>
    <n v="1628973"/>
    <x v="7"/>
    <n v="0"/>
    <n v="1610612742"/>
    <s v="DAL"/>
    <n v="25"/>
    <n v="79"/>
    <n v="61"/>
    <n v="2524"/>
    <n v="506"/>
    <n v="1008"/>
    <n v="0.502"/>
    <n v="94"/>
    <n v="252"/>
    <n v="0.373"/>
    <n v="179"/>
    <n v="213"/>
    <n v="0.84"/>
    <n v="43"/>
    <n v="266"/>
    <n v="309"/>
    <n v="377"/>
    <n v="66"/>
    <n v="3"/>
    <n v="124"/>
    <n v="151"/>
    <n v="1285"/>
    <x v="8"/>
  </r>
  <r>
    <n v="1628973"/>
    <x v="8"/>
    <n v="0"/>
    <n v="1610612752"/>
    <s v="NYK"/>
    <n v="26"/>
    <n v="68"/>
    <n v="68"/>
    <n v="2379"/>
    <n v="587"/>
    <n v="1195"/>
    <n v="0.49099999999999999"/>
    <n v="134"/>
    <n v="322"/>
    <n v="0.41599999999999998"/>
    <n v="325"/>
    <n v="392"/>
    <n v="0.82899999999999996"/>
    <n v="40"/>
    <n v="201"/>
    <n v="241"/>
    <n v="421"/>
    <n v="61"/>
    <n v="15"/>
    <n v="142"/>
    <n v="152"/>
    <n v="1633"/>
    <x v="8"/>
  </r>
  <r>
    <n v="1628973"/>
    <x v="9"/>
    <n v="0"/>
    <n v="1610612752"/>
    <s v="NYK"/>
    <n v="27"/>
    <n v="77"/>
    <n v="77"/>
    <n v="2726"/>
    <n v="790"/>
    <n v="1648"/>
    <n v="0.47899999999999998"/>
    <n v="211"/>
    <n v="526"/>
    <n v="0.40100000000000002"/>
    <n v="421"/>
    <n v="497"/>
    <n v="0.84699999999999998"/>
    <n v="43"/>
    <n v="235"/>
    <n v="278"/>
    <n v="519"/>
    <n v="70"/>
    <n v="13"/>
    <n v="186"/>
    <n v="144"/>
    <n v="2212"/>
    <x v="8"/>
  </r>
  <r>
    <n v="1628973"/>
    <x v="10"/>
    <n v="0"/>
    <n v="1610612752"/>
    <s v="NYK"/>
    <n v="28"/>
    <n v="65"/>
    <n v="65"/>
    <n v="2301"/>
    <n v="585"/>
    <n v="1200"/>
    <n v="0.48699999999999999"/>
    <n v="152"/>
    <n v="397"/>
    <n v="0.38300000000000001"/>
    <n v="368"/>
    <n v="448"/>
    <n v="0.82099999999999995"/>
    <n v="27"/>
    <n v="160"/>
    <n v="187"/>
    <n v="475"/>
    <n v="60"/>
    <n v="8"/>
    <n v="164"/>
    <n v="138"/>
    <n v="1690"/>
    <x v="8"/>
  </r>
  <r>
    <n v="1628973"/>
    <x v="11"/>
    <n v="0"/>
    <n v="1610612752"/>
    <s v="NYK"/>
    <n v="29"/>
    <n v="74"/>
    <n v="74"/>
    <n v="2590"/>
    <n v="689"/>
    <n v="1475"/>
    <n v="0.46700000000000003"/>
    <n v="195"/>
    <n v="528"/>
    <n v="0.36899999999999999"/>
    <n v="354"/>
    <n v="421"/>
    <n v="0.84099999999999997"/>
    <n v="31"/>
    <n v="216"/>
    <n v="247"/>
    <n v="503"/>
    <n v="57"/>
    <n v="8"/>
    <n v="175"/>
    <n v="170"/>
    <n v="1927"/>
    <x v="8"/>
  </r>
  <r>
    <n v="1642278"/>
    <x v="10"/>
    <n v="0"/>
    <n v="1610612752"/>
    <s v="NYK"/>
    <n v="24"/>
    <n v="41"/>
    <n v="0"/>
    <n v="296"/>
    <n v="27"/>
    <n v="82"/>
    <n v="0.32900000000000001"/>
    <n v="14"/>
    <n v="47"/>
    <n v="0.29799999999999999"/>
    <n v="13"/>
    <n v="17"/>
    <n v="0.76500000000000001"/>
    <n v="8"/>
    <n v="19"/>
    <n v="27"/>
    <n v="70"/>
    <n v="12"/>
    <n v="4"/>
    <n v="18"/>
    <n v="26"/>
    <n v="81"/>
    <x v="9"/>
  </r>
  <r>
    <n v="1642278"/>
    <x v="11"/>
    <n v="0"/>
    <n v="1610612752"/>
    <s v="NYK"/>
    <n v="25"/>
    <n v="62"/>
    <n v="1"/>
    <n v="727"/>
    <n v="108"/>
    <n v="248"/>
    <n v="0.435"/>
    <n v="44"/>
    <n v="114"/>
    <n v="0.38600000000000001"/>
    <n v="14"/>
    <n v="20"/>
    <n v="0.7"/>
    <n v="16"/>
    <n v="82"/>
    <n v="98"/>
    <n v="170"/>
    <n v="22"/>
    <n v="4"/>
    <n v="55"/>
    <n v="65"/>
    <n v="274"/>
    <x v="9"/>
  </r>
  <r>
    <n v="1631110"/>
    <x v="8"/>
    <n v="0"/>
    <n v="1610612759"/>
    <s v="SAS"/>
    <n v="20"/>
    <n v="56"/>
    <n v="53"/>
    <n v="1458"/>
    <n v="250"/>
    <n v="552"/>
    <n v="0.45300000000000001"/>
    <n v="33"/>
    <n v="134"/>
    <n v="0.246"/>
    <n v="81"/>
    <n v="116"/>
    <n v="0.69799999999999995"/>
    <n v="95"/>
    <n v="200"/>
    <n v="295"/>
    <n v="142"/>
    <n v="43"/>
    <n v="23"/>
    <n v="97"/>
    <n v="138"/>
    <n v="614"/>
    <x v="10"/>
  </r>
  <r>
    <n v="1631110"/>
    <x v="9"/>
    <n v="0"/>
    <n v="1610612759"/>
    <s v="SAS"/>
    <n v="21"/>
    <n v="74"/>
    <n v="73"/>
    <n v="2193"/>
    <n v="340"/>
    <n v="776"/>
    <n v="0.438"/>
    <n v="70"/>
    <n v="227"/>
    <n v="0.308"/>
    <n v="111"/>
    <n v="144"/>
    <n v="0.77100000000000002"/>
    <n v="137"/>
    <n v="339"/>
    <n v="476"/>
    <n v="249"/>
    <n v="62"/>
    <n v="40"/>
    <n v="140"/>
    <n v="168"/>
    <n v="861"/>
    <x v="10"/>
  </r>
  <r>
    <n v="1631110"/>
    <x v="10"/>
    <n v="0"/>
    <n v="1610612759"/>
    <s v="SAS"/>
    <n v="22"/>
    <n v="54"/>
    <n v="23"/>
    <n v="1364"/>
    <n v="251"/>
    <n v="469"/>
    <n v="0.53500000000000003"/>
    <n v="28"/>
    <n v="91"/>
    <n v="0.308"/>
    <n v="87"/>
    <n v="125"/>
    <n v="0.69599999999999995"/>
    <n v="127"/>
    <n v="225"/>
    <n v="352"/>
    <n v="128"/>
    <n v="45"/>
    <n v="27"/>
    <n v="84"/>
    <n v="131"/>
    <n v="617"/>
    <x v="10"/>
  </r>
  <r>
    <n v="1631110"/>
    <x v="11"/>
    <n v="0"/>
    <n v="1610612759"/>
    <s v="SAS"/>
    <n v="23"/>
    <n v="28"/>
    <n v="0"/>
    <n v="358"/>
    <n v="47"/>
    <n v="99"/>
    <n v="0.47499999999999998"/>
    <n v="9"/>
    <n v="35"/>
    <n v="0.25700000000000001"/>
    <n v="11"/>
    <n v="16"/>
    <n v="0.68799999999999994"/>
    <n v="26"/>
    <n v="47"/>
    <n v="73"/>
    <n v="28"/>
    <n v="10"/>
    <n v="5"/>
    <n v="18"/>
    <n v="50"/>
    <n v="114"/>
    <x v="10"/>
  </r>
  <r>
    <n v="1631110"/>
    <x v="11"/>
    <n v="0"/>
    <n v="1610612752"/>
    <s v="NYK"/>
    <n v="23"/>
    <n v="16"/>
    <n v="0"/>
    <n v="111"/>
    <n v="17"/>
    <n v="30"/>
    <n v="0.56699999999999995"/>
    <n v="2"/>
    <n v="10"/>
    <n v="0.2"/>
    <n v="8"/>
    <n v="10"/>
    <n v="0.8"/>
    <n v="11"/>
    <n v="23"/>
    <n v="34"/>
    <n v="12"/>
    <n v="7"/>
    <n v="2"/>
    <n v="3"/>
    <n v="12"/>
    <n v="44"/>
    <x v="10"/>
  </r>
  <r>
    <n v="1631110"/>
    <x v="11"/>
    <n v="0"/>
    <n v="0"/>
    <s v="TOT"/>
    <n v="23"/>
    <n v="44"/>
    <n v="0"/>
    <n v="469"/>
    <n v="64"/>
    <n v="129"/>
    <n v="0.496"/>
    <n v="11"/>
    <n v="45"/>
    <n v="0.24399999999999999"/>
    <n v="19"/>
    <n v="26"/>
    <n v="0.73099999999999998"/>
    <n v="37"/>
    <n v="70"/>
    <n v="107"/>
    <n v="40"/>
    <n v="17"/>
    <n v="7"/>
    <n v="21"/>
    <n v="62"/>
    <n v="158"/>
    <x v="10"/>
  </r>
  <r>
    <n v="1629011"/>
    <x v="4"/>
    <n v="0"/>
    <n v="1610612752"/>
    <s v="NYK"/>
    <n v="21"/>
    <n v="66"/>
    <n v="19"/>
    <n v="1360"/>
    <n v="202"/>
    <n v="291"/>
    <n v="0.69399999999999995"/>
    <n v="0"/>
    <n v="0"/>
    <n v="0"/>
    <n v="81"/>
    <n v="135"/>
    <n v="0.6"/>
    <n v="177"/>
    <n v="246"/>
    <n v="423"/>
    <n v="37"/>
    <n v="52"/>
    <n v="161"/>
    <n v="35"/>
    <n v="217"/>
    <n v="485"/>
    <x v="11"/>
  </r>
  <r>
    <n v="1629011"/>
    <x v="5"/>
    <n v="0"/>
    <n v="1610612752"/>
    <s v="NYK"/>
    <n v="22"/>
    <n v="61"/>
    <n v="7"/>
    <n v="1412"/>
    <n v="253"/>
    <n v="341"/>
    <n v="0.74199999999999999"/>
    <n v="0"/>
    <n v="0"/>
    <n v="0"/>
    <n v="84"/>
    <n v="148"/>
    <n v="0.56799999999999995"/>
    <n v="186"/>
    <n v="242"/>
    <n v="428"/>
    <n v="36"/>
    <n v="52"/>
    <n v="119"/>
    <n v="37"/>
    <n v="194"/>
    <n v="590"/>
    <x v="11"/>
  </r>
  <r>
    <n v="1629011"/>
    <x v="6"/>
    <n v="0"/>
    <n v="1610612752"/>
    <s v="NYK"/>
    <n v="23"/>
    <n v="31"/>
    <n v="29"/>
    <n v="853"/>
    <n v="115"/>
    <n v="176"/>
    <n v="0.65300000000000002"/>
    <n v="0"/>
    <n v="0"/>
    <n v="0"/>
    <n v="26"/>
    <n v="53"/>
    <n v="0.49099999999999999"/>
    <n v="113"/>
    <n v="139"/>
    <n v="252"/>
    <n v="17"/>
    <n v="35"/>
    <n v="45"/>
    <n v="26"/>
    <n v="86"/>
    <n v="256"/>
    <x v="11"/>
  </r>
  <r>
    <n v="1629011"/>
    <x v="7"/>
    <n v="0"/>
    <n v="1610612752"/>
    <s v="NYK"/>
    <n v="24"/>
    <n v="72"/>
    <n v="62"/>
    <n v="1848"/>
    <n v="261"/>
    <n v="343"/>
    <n v="0.76100000000000001"/>
    <n v="0"/>
    <n v="0"/>
    <n v="0"/>
    <n v="88"/>
    <n v="181"/>
    <n v="0.48599999999999999"/>
    <n v="295"/>
    <n v="322"/>
    <n v="617"/>
    <n v="38"/>
    <n v="58"/>
    <n v="133"/>
    <n v="60"/>
    <n v="195"/>
    <n v="610"/>
    <x v="11"/>
  </r>
  <r>
    <n v="1629011"/>
    <x v="8"/>
    <n v="0"/>
    <n v="1610612752"/>
    <s v="NYK"/>
    <n v="25"/>
    <n v="59"/>
    <n v="58"/>
    <n v="1589"/>
    <n v="188"/>
    <n v="280"/>
    <n v="0.67100000000000004"/>
    <n v="0"/>
    <n v="0"/>
    <n v="0"/>
    <n v="59"/>
    <n v="122"/>
    <n v="0.48399999999999999"/>
    <n v="267"/>
    <n v="288"/>
    <n v="555"/>
    <n v="53"/>
    <n v="56"/>
    <n v="109"/>
    <n v="41"/>
    <n v="160"/>
    <n v="435"/>
    <x v="11"/>
  </r>
  <r>
    <n v="1629011"/>
    <x v="9"/>
    <n v="0"/>
    <n v="1610612752"/>
    <s v="NYK"/>
    <n v="26"/>
    <n v="31"/>
    <n v="21"/>
    <n v="768"/>
    <n v="73"/>
    <n v="127"/>
    <n v="0.57499999999999996"/>
    <n v="0"/>
    <n v="0"/>
    <n v="0"/>
    <n v="27"/>
    <n v="66"/>
    <n v="0.40899999999999997"/>
    <n v="142"/>
    <n v="121"/>
    <n v="263"/>
    <n v="18"/>
    <n v="37"/>
    <n v="35"/>
    <n v="25"/>
    <n v="55"/>
    <n v="173"/>
    <x v="11"/>
  </r>
  <r>
    <n v="1629011"/>
    <x v="10"/>
    <n v="0"/>
    <n v="1610612752"/>
    <s v="NYK"/>
    <n v="27"/>
    <n v="17"/>
    <n v="3"/>
    <n v="290"/>
    <n v="37"/>
    <n v="56"/>
    <n v="0.66100000000000003"/>
    <n v="0"/>
    <n v="0"/>
    <n v="0"/>
    <n v="13"/>
    <n v="19"/>
    <n v="0.68400000000000005"/>
    <n v="52"/>
    <n v="49"/>
    <n v="101"/>
    <n v="13"/>
    <n v="16"/>
    <n v="18"/>
    <n v="10"/>
    <n v="26"/>
    <n v="87"/>
    <x v="11"/>
  </r>
  <r>
    <n v="1629011"/>
    <x v="11"/>
    <n v="0"/>
    <n v="1610612752"/>
    <s v="NYK"/>
    <n v="28"/>
    <n v="60"/>
    <n v="16"/>
    <n v="1175"/>
    <n v="149"/>
    <n v="206"/>
    <n v="0.72299999999999998"/>
    <n v="0"/>
    <n v="0"/>
    <n v="0"/>
    <n v="42"/>
    <n v="103"/>
    <n v="0.40799999999999997"/>
    <n v="252"/>
    <n v="273"/>
    <n v="525"/>
    <n v="52"/>
    <n v="56"/>
    <n v="70"/>
    <n v="41"/>
    <n v="127"/>
    <n v="340"/>
    <x v="11"/>
  </r>
  <r>
    <n v="1628969"/>
    <x v="4"/>
    <n v="0"/>
    <n v="1610612756"/>
    <s v="PHX"/>
    <n v="22"/>
    <n v="82"/>
    <n v="56"/>
    <n v="2417"/>
    <n v="242"/>
    <n v="563"/>
    <n v="0.43"/>
    <n v="105"/>
    <n v="313"/>
    <n v="0.33500000000000002"/>
    <n v="95"/>
    <n v="118"/>
    <n v="0.80500000000000005"/>
    <n v="56"/>
    <n v="208"/>
    <n v="264"/>
    <n v="173"/>
    <n v="129"/>
    <n v="38"/>
    <n v="70"/>
    <n v="201"/>
    <n v="684"/>
    <x v="12"/>
  </r>
  <r>
    <n v="1628969"/>
    <x v="5"/>
    <n v="0"/>
    <n v="1610612756"/>
    <s v="PHX"/>
    <n v="23"/>
    <n v="73"/>
    <n v="32"/>
    <n v="2042"/>
    <n v="247"/>
    <n v="484"/>
    <n v="0.51"/>
    <n v="70"/>
    <n v="194"/>
    <n v="0.36099999999999999"/>
    <n v="103"/>
    <n v="122"/>
    <n v="0.84399999999999997"/>
    <n v="66"/>
    <n v="226"/>
    <n v="292"/>
    <n v="129"/>
    <n v="102"/>
    <n v="46"/>
    <n v="73"/>
    <n v="163"/>
    <n v="667"/>
    <x v="12"/>
  </r>
  <r>
    <n v="1628969"/>
    <x v="6"/>
    <n v="0"/>
    <n v="1610612756"/>
    <s v="PHX"/>
    <n v="24"/>
    <n v="72"/>
    <n v="72"/>
    <n v="2348"/>
    <n v="363"/>
    <n v="669"/>
    <n v="0.54300000000000004"/>
    <n v="134"/>
    <n v="315"/>
    <n v="0.42499999999999999"/>
    <n v="110"/>
    <n v="131"/>
    <n v="0.84"/>
    <n v="76"/>
    <n v="233"/>
    <n v="309"/>
    <n v="152"/>
    <n v="76"/>
    <n v="63"/>
    <n v="57"/>
    <n v="116"/>
    <n v="970"/>
    <x v="12"/>
  </r>
  <r>
    <n v="1628969"/>
    <x v="7"/>
    <n v="0"/>
    <n v="1610612756"/>
    <s v="PHX"/>
    <n v="25"/>
    <n v="82"/>
    <n v="82"/>
    <n v="2854"/>
    <n v="458"/>
    <n v="858"/>
    <n v="0.53400000000000003"/>
    <n v="115"/>
    <n v="312"/>
    <n v="0.36899999999999999"/>
    <n v="131"/>
    <n v="157"/>
    <n v="0.83399999999999996"/>
    <n v="74"/>
    <n v="273"/>
    <n v="347"/>
    <n v="185"/>
    <n v="96"/>
    <n v="36"/>
    <n v="68"/>
    <n v="150"/>
    <n v="1162"/>
    <x v="12"/>
  </r>
  <r>
    <n v="1628969"/>
    <x v="8"/>
    <n v="0"/>
    <n v="1610612756"/>
    <s v="PHX"/>
    <n v="26"/>
    <n v="56"/>
    <n v="56"/>
    <n v="2040"/>
    <n v="354"/>
    <n v="764"/>
    <n v="0.46300000000000002"/>
    <n v="101"/>
    <n v="261"/>
    <n v="0.38700000000000001"/>
    <n v="156"/>
    <n v="174"/>
    <n v="0.89700000000000002"/>
    <n v="56"/>
    <n v="187"/>
    <n v="243"/>
    <n v="201"/>
    <n v="65"/>
    <n v="45"/>
    <n v="78"/>
    <n v="115"/>
    <n v="965"/>
    <x v="12"/>
  </r>
  <r>
    <n v="1628969"/>
    <x v="8"/>
    <n v="0"/>
    <n v="1610612751"/>
    <s v="BKN"/>
    <n v="26"/>
    <n v="27"/>
    <n v="27"/>
    <n v="923"/>
    <n v="239"/>
    <n v="503"/>
    <n v="0.47499999999999998"/>
    <n v="68"/>
    <n v="181"/>
    <n v="0.376"/>
    <n v="160"/>
    <n v="179"/>
    <n v="0.89400000000000002"/>
    <n v="23"/>
    <n v="98"/>
    <n v="121"/>
    <n v="72"/>
    <n v="26"/>
    <n v="16"/>
    <n v="49"/>
    <n v="44"/>
    <n v="706"/>
    <x v="12"/>
  </r>
  <r>
    <n v="1628969"/>
    <x v="8"/>
    <n v="0"/>
    <n v="0"/>
    <s v="TOT"/>
    <n v="26"/>
    <n v="83"/>
    <n v="83"/>
    <n v="2963"/>
    <n v="593"/>
    <n v="1267"/>
    <n v="0.46800000000000003"/>
    <n v="169"/>
    <n v="442"/>
    <n v="0.38200000000000001"/>
    <n v="316"/>
    <n v="353"/>
    <n v="0.89500000000000002"/>
    <n v="79"/>
    <n v="285"/>
    <n v="364"/>
    <n v="273"/>
    <n v="91"/>
    <n v="61"/>
    <n v="127"/>
    <n v="159"/>
    <n v="1671"/>
    <x v="12"/>
  </r>
  <r>
    <n v="1628969"/>
    <x v="9"/>
    <n v="0"/>
    <n v="1610612751"/>
    <s v="BKN"/>
    <n v="27"/>
    <n v="82"/>
    <n v="82"/>
    <n v="2854"/>
    <n v="564"/>
    <n v="1294"/>
    <n v="0.436"/>
    <n v="220"/>
    <n v="592"/>
    <n v="0.372"/>
    <n v="258"/>
    <n v="317"/>
    <n v="0.81399999999999995"/>
    <n v="68"/>
    <n v="304"/>
    <n v="372"/>
    <n v="299"/>
    <n v="81"/>
    <n v="30"/>
    <n v="164"/>
    <n v="116"/>
    <n v="1606"/>
    <x v="12"/>
  </r>
  <r>
    <n v="1628969"/>
    <x v="10"/>
    <n v="0"/>
    <n v="1610612752"/>
    <s v="NYK"/>
    <n v="28"/>
    <n v="82"/>
    <n v="82"/>
    <n v="3036"/>
    <n v="592"/>
    <n v="1183"/>
    <n v="0.5"/>
    <n v="164"/>
    <n v="463"/>
    <n v="0.35399999999999998"/>
    <n v="96"/>
    <n v="118"/>
    <n v="0.81399999999999995"/>
    <n v="71"/>
    <n v="188"/>
    <n v="259"/>
    <n v="306"/>
    <n v="75"/>
    <n v="43"/>
    <n v="132"/>
    <n v="127"/>
    <n v="1444"/>
    <x v="12"/>
  </r>
  <r>
    <n v="1628969"/>
    <x v="11"/>
    <n v="0"/>
    <n v="1610612752"/>
    <s v="NYK"/>
    <n v="29"/>
    <n v="82"/>
    <n v="82"/>
    <n v="2692"/>
    <n v="472"/>
    <n v="963"/>
    <n v="0.49"/>
    <n v="156"/>
    <n v="420"/>
    <n v="0.371"/>
    <n v="81"/>
    <n v="98"/>
    <n v="0.82699999999999996"/>
    <n v="79"/>
    <n v="233"/>
    <n v="312"/>
    <n v="304"/>
    <n v="107"/>
    <n v="62"/>
    <n v="83"/>
    <n v="160"/>
    <n v="1181"/>
    <x v="12"/>
  </r>
  <r>
    <n v="1626157"/>
    <x v="1"/>
    <n v="0"/>
    <n v="1610612750"/>
    <s v="MIN"/>
    <n v="20"/>
    <n v="82"/>
    <n v="82"/>
    <n v="2627"/>
    <n v="625"/>
    <n v="1153"/>
    <n v="0.54200000000000004"/>
    <n v="30"/>
    <n v="88"/>
    <n v="0.34100000000000003"/>
    <n v="223"/>
    <n v="275"/>
    <n v="0.81100000000000005"/>
    <n v="229"/>
    <n v="629"/>
    <n v="858"/>
    <n v="161"/>
    <n v="58"/>
    <n v="138"/>
    <n v="183"/>
    <n v="245"/>
    <n v="1503"/>
    <x v="13"/>
  </r>
  <r>
    <n v="1626157"/>
    <x v="2"/>
    <n v="0"/>
    <n v="1610612750"/>
    <s v="MIN"/>
    <n v="21"/>
    <n v="82"/>
    <n v="82"/>
    <n v="3030"/>
    <n v="802"/>
    <n v="1480"/>
    <n v="0.54200000000000004"/>
    <n v="101"/>
    <n v="275"/>
    <n v="0.36699999999999999"/>
    <n v="356"/>
    <n v="428"/>
    <n v="0.83199999999999996"/>
    <n v="296"/>
    <n v="711"/>
    <n v="1007"/>
    <n v="220"/>
    <n v="56"/>
    <n v="103"/>
    <n v="212"/>
    <n v="241"/>
    <n v="2061"/>
    <x v="13"/>
  </r>
  <r>
    <n v="1626157"/>
    <x v="3"/>
    <n v="0"/>
    <n v="1610612750"/>
    <s v="MIN"/>
    <n v="22"/>
    <n v="82"/>
    <n v="82"/>
    <n v="2918"/>
    <n v="639"/>
    <n v="1172"/>
    <n v="0.54500000000000004"/>
    <n v="120"/>
    <n v="285"/>
    <n v="0.42099999999999999"/>
    <n v="345"/>
    <n v="402"/>
    <n v="0.85799999999999998"/>
    <n v="238"/>
    <n v="774"/>
    <n v="1012"/>
    <n v="199"/>
    <n v="64"/>
    <n v="115"/>
    <n v="159"/>
    <n v="285"/>
    <n v="1743"/>
    <x v="13"/>
  </r>
  <r>
    <n v="1626157"/>
    <x v="4"/>
    <n v="0"/>
    <n v="1610612750"/>
    <s v="MIN"/>
    <n v="23"/>
    <n v="77"/>
    <n v="77"/>
    <n v="2545"/>
    <n v="681"/>
    <n v="1314"/>
    <n v="0.51800000000000002"/>
    <n v="142"/>
    <n v="355"/>
    <n v="0.4"/>
    <n v="376"/>
    <n v="450"/>
    <n v="0.83599999999999997"/>
    <n v="263"/>
    <n v="691"/>
    <n v="954"/>
    <n v="259"/>
    <n v="67"/>
    <n v="125"/>
    <n v="240"/>
    <n v="292"/>
    <n v="1880"/>
    <x v="13"/>
  </r>
  <r>
    <n v="1626157"/>
    <x v="5"/>
    <n v="0"/>
    <n v="1610612750"/>
    <s v="MIN"/>
    <n v="24"/>
    <n v="35"/>
    <n v="35"/>
    <n v="1187"/>
    <n v="316"/>
    <n v="622"/>
    <n v="0.50800000000000001"/>
    <n v="114"/>
    <n v="277"/>
    <n v="0.41199999999999998"/>
    <n v="180"/>
    <n v="226"/>
    <n v="0.79600000000000004"/>
    <n v="95"/>
    <n v="283"/>
    <n v="378"/>
    <n v="153"/>
    <n v="33"/>
    <n v="42"/>
    <n v="110"/>
    <n v="117"/>
    <n v="926"/>
    <x v="13"/>
  </r>
  <r>
    <n v="1626157"/>
    <x v="6"/>
    <n v="0"/>
    <n v="1610612750"/>
    <s v="MIN"/>
    <n v="25"/>
    <n v="50"/>
    <n v="50"/>
    <n v="1689"/>
    <n v="425"/>
    <n v="875"/>
    <n v="0.48599999999999999"/>
    <n v="122"/>
    <n v="315"/>
    <n v="0.38700000000000001"/>
    <n v="267"/>
    <n v="311"/>
    <n v="0.85899999999999999"/>
    <n v="133"/>
    <n v="396"/>
    <n v="529"/>
    <n v="225"/>
    <n v="39"/>
    <n v="57"/>
    <n v="160"/>
    <n v="186"/>
    <n v="1239"/>
    <x v="13"/>
  </r>
  <r>
    <n v="1626157"/>
    <x v="7"/>
    <n v="0"/>
    <n v="1610612750"/>
    <s v="MIN"/>
    <n v="26"/>
    <n v="74"/>
    <n v="74"/>
    <n v="2475"/>
    <n v="642"/>
    <n v="1214"/>
    <n v="0.52900000000000003"/>
    <n v="150"/>
    <n v="366"/>
    <n v="0.41"/>
    <n v="384"/>
    <n v="467"/>
    <n v="0.82199999999999995"/>
    <n v="194"/>
    <n v="533"/>
    <n v="727"/>
    <n v="269"/>
    <n v="72"/>
    <n v="83"/>
    <n v="226"/>
    <n v="267"/>
    <n v="1818"/>
    <x v="13"/>
  </r>
  <r>
    <n v="1626157"/>
    <x v="8"/>
    <n v="0"/>
    <n v="1610612750"/>
    <s v="MIN"/>
    <n v="27"/>
    <n v="29"/>
    <n v="29"/>
    <n v="957"/>
    <n v="212"/>
    <n v="428"/>
    <n v="0.495"/>
    <n v="60"/>
    <n v="164"/>
    <n v="0.36599999999999999"/>
    <n v="118"/>
    <n v="135"/>
    <n v="0.874"/>
    <n v="48"/>
    <n v="188"/>
    <n v="236"/>
    <n v="140"/>
    <n v="20"/>
    <n v="17"/>
    <n v="86"/>
    <n v="111"/>
    <n v="602"/>
    <x v="13"/>
  </r>
  <r>
    <n v="1626157"/>
    <x v="9"/>
    <n v="0"/>
    <n v="1610612750"/>
    <s v="MIN"/>
    <n v="28"/>
    <n v="62"/>
    <n v="62"/>
    <n v="2026"/>
    <n v="479"/>
    <n v="951"/>
    <n v="0.504"/>
    <n v="136"/>
    <n v="327"/>
    <n v="0.41599999999999998"/>
    <n v="255"/>
    <n v="292"/>
    <n v="0.873"/>
    <n v="94"/>
    <n v="421"/>
    <n v="515"/>
    <n v="189"/>
    <n v="43"/>
    <n v="41"/>
    <n v="177"/>
    <n v="204"/>
    <n v="1349"/>
    <x v="13"/>
  </r>
  <r>
    <n v="1626157"/>
    <x v="10"/>
    <n v="0"/>
    <n v="1610612752"/>
    <s v="NYK"/>
    <n v="29"/>
    <n v="72"/>
    <n v="72"/>
    <n v="2517"/>
    <n v="639"/>
    <n v="1215"/>
    <n v="0.52600000000000002"/>
    <n v="142"/>
    <n v="338"/>
    <n v="0.42"/>
    <n v="339"/>
    <n v="409"/>
    <n v="0.82899999999999996"/>
    <n v="212"/>
    <n v="708"/>
    <n v="920"/>
    <n v="222"/>
    <n v="71"/>
    <n v="50"/>
    <n v="192"/>
    <n v="249"/>
    <n v="1759"/>
    <x v="13"/>
  </r>
  <r>
    <n v="1626157"/>
    <x v="11"/>
    <n v="0"/>
    <n v="1610612752"/>
    <s v="NYK"/>
    <n v="30"/>
    <n v="75"/>
    <n v="75"/>
    <n v="2322"/>
    <n v="517"/>
    <n v="1032"/>
    <n v="0.501"/>
    <n v="113"/>
    <n v="307"/>
    <n v="0.36799999999999999"/>
    <n v="357"/>
    <n v="416"/>
    <n v="0.85799999999999998"/>
    <n v="233"/>
    <n v="656"/>
    <n v="889"/>
    <n v="226"/>
    <n v="65"/>
    <n v="40"/>
    <n v="187"/>
    <n v="255"/>
    <n v="1504"/>
    <x v="13"/>
  </r>
  <r>
    <n v="1629013"/>
    <x v="4"/>
    <n v="0"/>
    <n v="1610612755"/>
    <s v="PHI"/>
    <n v="22"/>
    <n v="54"/>
    <n v="4"/>
    <n v="1108"/>
    <n v="153"/>
    <n v="347"/>
    <n v="0.441"/>
    <n v="99"/>
    <n v="245"/>
    <n v="0.40400000000000003"/>
    <n v="44"/>
    <n v="54"/>
    <n v="0.81499999999999995"/>
    <n v="14"/>
    <n v="64"/>
    <n v="78"/>
    <n v="59"/>
    <n v="24"/>
    <n v="8"/>
    <n v="26"/>
    <n v="106"/>
    <n v="449"/>
    <x v="14"/>
  </r>
  <r>
    <n v="1629013"/>
    <x v="4"/>
    <n v="0"/>
    <n v="1610612746"/>
    <s v="LAC"/>
    <n v="22"/>
    <n v="25"/>
    <n v="23"/>
    <n v="694"/>
    <n v="87"/>
    <n v="210"/>
    <n v="0.41399999999999998"/>
    <n v="68"/>
    <n v="151"/>
    <n v="0.45"/>
    <n v="31"/>
    <n v="39"/>
    <n v="0.79500000000000004"/>
    <n v="7"/>
    <n v="49"/>
    <n v="56"/>
    <n v="58"/>
    <n v="13"/>
    <n v="2"/>
    <n v="19"/>
    <n v="49"/>
    <n v="273"/>
    <x v="14"/>
  </r>
  <r>
    <n v="1629013"/>
    <x v="4"/>
    <n v="0"/>
    <n v="0"/>
    <s v="TOT"/>
    <n v="22"/>
    <n v="79"/>
    <n v="27"/>
    <n v="1802"/>
    <n v="240"/>
    <n v="557"/>
    <n v="0.43099999999999999"/>
    <n v="167"/>
    <n v="396"/>
    <n v="0.42199999999999999"/>
    <n v="75"/>
    <n v="93"/>
    <n v="0.80600000000000005"/>
    <n v="21"/>
    <n v="113"/>
    <n v="134"/>
    <n v="117"/>
    <n v="37"/>
    <n v="10"/>
    <n v="45"/>
    <n v="155"/>
    <n v="722"/>
    <x v="14"/>
  </r>
  <r>
    <n v="1629013"/>
    <x v="5"/>
    <n v="0"/>
    <n v="1610612746"/>
    <s v="LAC"/>
    <n v="23"/>
    <n v="53"/>
    <n v="30"/>
    <n v="1452"/>
    <n v="158"/>
    <n v="391"/>
    <n v="0.40400000000000003"/>
    <n v="111"/>
    <n v="296"/>
    <n v="0.375"/>
    <n v="65"/>
    <n v="76"/>
    <n v="0.85499999999999998"/>
    <n v="6"/>
    <n v="94"/>
    <n v="100"/>
    <n v="99"/>
    <n v="20"/>
    <n v="10"/>
    <n v="42"/>
    <n v="142"/>
    <n v="492"/>
    <x v="14"/>
  </r>
  <r>
    <n v="1629013"/>
    <x v="6"/>
    <n v="0"/>
    <n v="1610612751"/>
    <s v="BKN"/>
    <n v="24"/>
    <n v="61"/>
    <n v="12"/>
    <n v="1403"/>
    <n v="186"/>
    <n v="456"/>
    <n v="0.40799999999999997"/>
    <n v="129"/>
    <n v="333"/>
    <n v="0.38700000000000001"/>
    <n v="66"/>
    <n v="78"/>
    <n v="0.84599999999999997"/>
    <n v="11"/>
    <n v="101"/>
    <n v="112"/>
    <n v="99"/>
    <n v="31"/>
    <n v="10"/>
    <n v="48"/>
    <n v="93"/>
    <n v="567"/>
    <x v="14"/>
  </r>
  <r>
    <n v="1629013"/>
    <x v="7"/>
    <n v="0"/>
    <n v="1610612756"/>
    <s v="PHX"/>
    <n v="25"/>
    <n v="69"/>
    <n v="14"/>
    <n v="1437"/>
    <n v="191"/>
    <n v="485"/>
    <n v="0.39400000000000002"/>
    <n v="123"/>
    <n v="334"/>
    <n v="0.36799999999999999"/>
    <n v="68"/>
    <n v="81"/>
    <n v="0.84"/>
    <n v="16"/>
    <n v="110"/>
    <n v="126"/>
    <n v="108"/>
    <n v="28"/>
    <n v="9"/>
    <n v="41"/>
    <n v="92"/>
    <n v="573"/>
    <x v="14"/>
  </r>
  <r>
    <n v="1629013"/>
    <x v="8"/>
    <n v="0"/>
    <n v="1610612756"/>
    <s v="PHX"/>
    <n v="26"/>
    <n v="40"/>
    <n v="9"/>
    <n v="807"/>
    <n v="113"/>
    <n v="300"/>
    <n v="0.377"/>
    <n v="75"/>
    <n v="199"/>
    <n v="0.377"/>
    <n v="45"/>
    <n v="51"/>
    <n v="0.88200000000000001"/>
    <n v="11"/>
    <n v="56"/>
    <n v="67"/>
    <n v="93"/>
    <n v="26"/>
    <n v="5"/>
    <n v="36"/>
    <n v="61"/>
    <n v="346"/>
    <x v="14"/>
  </r>
  <r>
    <n v="1629013"/>
    <x v="9"/>
    <n v="0"/>
    <n v="1610612764"/>
    <s v="WAS"/>
    <n v="27"/>
    <n v="46"/>
    <n v="5"/>
    <n v="727"/>
    <n v="118"/>
    <n v="274"/>
    <n v="0.43099999999999999"/>
    <n v="53"/>
    <n v="157"/>
    <n v="0.33800000000000002"/>
    <n v="38"/>
    <n v="46"/>
    <n v="0.82599999999999996"/>
    <n v="16"/>
    <n v="46"/>
    <n v="62"/>
    <n v="54"/>
    <n v="25"/>
    <n v="10"/>
    <n v="30"/>
    <n v="76"/>
    <n v="327"/>
    <x v="14"/>
  </r>
  <r>
    <n v="1629013"/>
    <x v="10"/>
    <n v="0"/>
    <n v="1610612752"/>
    <s v="NYK"/>
    <n v="28"/>
    <n v="50"/>
    <n v="0"/>
    <n v="762"/>
    <n v="106"/>
    <n v="230"/>
    <n v="0.46100000000000002"/>
    <n v="62"/>
    <n v="156"/>
    <n v="0.39700000000000002"/>
    <n v="12"/>
    <n v="18"/>
    <n v="0.66700000000000004"/>
    <n v="11"/>
    <n v="50"/>
    <n v="61"/>
    <n v="27"/>
    <n v="23"/>
    <n v="2"/>
    <n v="22"/>
    <n v="52"/>
    <n v="286"/>
    <x v="14"/>
  </r>
  <r>
    <n v="1629013"/>
    <x v="11"/>
    <n v="0"/>
    <n v="1610612752"/>
    <s v="NYK"/>
    <n v="29"/>
    <n v="51"/>
    <n v="12"/>
    <n v="1171"/>
    <n v="159"/>
    <n v="364"/>
    <n v="0.437"/>
    <n v="103"/>
    <n v="263"/>
    <n v="0.39200000000000002"/>
    <n v="54"/>
    <n v="76"/>
    <n v="0.71099999999999997"/>
    <n v="23"/>
    <n v="69"/>
    <n v="92"/>
    <n v="72"/>
    <n v="31"/>
    <n v="9"/>
    <n v="30"/>
    <n v="77"/>
    <n v="475"/>
    <x v="14"/>
  </r>
  <r>
    <n v="1641998"/>
    <x v="9"/>
    <n v="0"/>
    <n v="1610612764"/>
    <s v="WAS"/>
    <n v="24"/>
    <n v="2"/>
    <n v="0"/>
    <n v="1"/>
    <n v="0"/>
    <n v="0"/>
    <n v="0"/>
    <n v="0"/>
    <n v="0"/>
    <n v="0"/>
    <n v="0"/>
    <n v="0"/>
    <n v="0"/>
    <n v="0"/>
    <n v="1"/>
    <n v="1"/>
    <n v="0"/>
    <n v="0"/>
    <n v="0"/>
    <n v="1"/>
    <n v="0"/>
    <n v="0"/>
    <x v="15"/>
  </r>
  <r>
    <n v="1641998"/>
    <x v="9"/>
    <n v="0"/>
    <n v="1610612763"/>
    <s v="MEM"/>
    <n v="24"/>
    <n v="23"/>
    <n v="14"/>
    <n v="573"/>
    <n v="75"/>
    <n v="136"/>
    <n v="0.55100000000000005"/>
    <n v="0"/>
    <n v="0"/>
    <n v="0"/>
    <n v="21"/>
    <n v="25"/>
    <n v="0.84"/>
    <n v="64"/>
    <n v="69"/>
    <n v="133"/>
    <n v="27"/>
    <n v="12"/>
    <n v="28"/>
    <n v="33"/>
    <n v="69"/>
    <n v="171"/>
    <x v="15"/>
  </r>
  <r>
    <n v="1641998"/>
    <x v="9"/>
    <n v="0"/>
    <n v="0"/>
    <s v="TOT"/>
    <n v="24"/>
    <n v="25"/>
    <n v="14"/>
    <n v="574"/>
    <n v="75"/>
    <n v="136"/>
    <n v="0.55100000000000005"/>
    <n v="0"/>
    <n v="0"/>
    <n v="0"/>
    <n v="21"/>
    <n v="25"/>
    <n v="0.84"/>
    <n v="64"/>
    <n v="70"/>
    <n v="134"/>
    <n v="27"/>
    <n v="12"/>
    <n v="28"/>
    <n v="34"/>
    <n v="69"/>
    <n v="171"/>
    <x v="15"/>
  </r>
  <r>
    <n v="1641998"/>
    <x v="10"/>
    <n v="0"/>
    <n v="1610612740"/>
    <s v="NOP"/>
    <n v="25"/>
    <n v="16"/>
    <n v="0"/>
    <n v="166"/>
    <n v="15"/>
    <n v="32"/>
    <n v="0.46899999999999997"/>
    <n v="0"/>
    <n v="0"/>
    <n v="0"/>
    <n v="8"/>
    <n v="21"/>
    <n v="0.38100000000000001"/>
    <n v="22"/>
    <n v="22"/>
    <n v="44"/>
    <n v="10"/>
    <n v="7"/>
    <n v="6"/>
    <n v="10"/>
    <n v="27"/>
    <n v="38"/>
    <x v="15"/>
  </r>
  <r>
    <n v="1641998"/>
    <x v="10"/>
    <n v="0"/>
    <n v="1610612747"/>
    <s v="LAL"/>
    <n v="25"/>
    <n v="22"/>
    <n v="0"/>
    <n v="226"/>
    <n v="26"/>
    <n v="42"/>
    <n v="0.61899999999999999"/>
    <n v="0"/>
    <n v="0"/>
    <n v="0"/>
    <n v="5"/>
    <n v="12"/>
    <n v="0.41699999999999998"/>
    <n v="22"/>
    <n v="39"/>
    <n v="61"/>
    <n v="6"/>
    <n v="2"/>
    <n v="9"/>
    <n v="14"/>
    <n v="42"/>
    <n v="57"/>
    <x v="15"/>
  </r>
  <r>
    <n v="1641998"/>
    <x v="10"/>
    <n v="0"/>
    <n v="0"/>
    <s v="TOT"/>
    <n v="25"/>
    <n v="38"/>
    <n v="0"/>
    <n v="392"/>
    <n v="41"/>
    <n v="74"/>
    <n v="0.55400000000000005"/>
    <n v="0"/>
    <n v="0"/>
    <n v="0"/>
    <n v="13"/>
    <n v="33"/>
    <n v="0.39400000000000002"/>
    <n v="44"/>
    <n v="61"/>
    <n v="105"/>
    <n v="16"/>
    <n v="9"/>
    <n v="15"/>
    <n v="24"/>
    <n v="69"/>
    <n v="95"/>
    <x v="15"/>
  </r>
  <r>
    <n v="1641998"/>
    <x v="11"/>
    <n v="0"/>
    <n v="1610612752"/>
    <s v="NYK"/>
    <n v="26"/>
    <n v="13"/>
    <n v="0"/>
    <n v="82"/>
    <n v="6"/>
    <n v="10"/>
    <n v="0.6"/>
    <n v="0"/>
    <n v="0"/>
    <n v="0"/>
    <n v="1"/>
    <n v="1"/>
    <n v="1"/>
    <n v="8"/>
    <n v="10"/>
    <n v="18"/>
    <n v="5"/>
    <n v="1"/>
    <n v="2"/>
    <n v="10"/>
    <n v="11"/>
    <n v="13"/>
    <x v="15"/>
  </r>
  <r>
    <n v="1642885"/>
    <x v="11"/>
    <n v="0"/>
    <n v="1610612752"/>
    <s v="NYK"/>
    <n v="21"/>
    <n v="69"/>
    <n v="7"/>
    <n v="634"/>
    <n v="90"/>
    <n v="213"/>
    <n v="0.42299999999999999"/>
    <n v="48"/>
    <n v="130"/>
    <n v="0.36899999999999999"/>
    <n v="18"/>
    <n v="24"/>
    <n v="0.75"/>
    <n v="15"/>
    <n v="79"/>
    <n v="94"/>
    <n v="53"/>
    <n v="17"/>
    <n v="6"/>
    <n v="30"/>
    <n v="50"/>
    <n v="246"/>
    <x v="16"/>
  </r>
  <r>
    <n v="1630574"/>
    <x v="10"/>
    <n v="0"/>
    <n v="1610612752"/>
    <s v="NYK"/>
    <n v="23"/>
    <n v="25"/>
    <n v="1"/>
    <n v="217"/>
    <n v="21"/>
    <n v="31"/>
    <n v="0.67700000000000005"/>
    <n v="0"/>
    <n v="0"/>
    <n v="0"/>
    <n v="6"/>
    <n v="13"/>
    <n v="0.46200000000000002"/>
    <n v="14"/>
    <n v="37"/>
    <n v="51"/>
    <n v="11"/>
    <n v="1"/>
    <n v="15"/>
    <n v="21"/>
    <n v="32"/>
    <n v="48"/>
    <x v="17"/>
  </r>
  <r>
    <n v="1630574"/>
    <x v="11"/>
    <n v="0"/>
    <n v="1610612752"/>
    <s v="NYK"/>
    <n v="24"/>
    <n v="54"/>
    <n v="5"/>
    <n v="498"/>
    <n v="45"/>
    <n v="80"/>
    <n v="0.56299999999999994"/>
    <n v="1"/>
    <n v="4"/>
    <n v="0.25"/>
    <n v="26"/>
    <n v="33"/>
    <n v="0.78800000000000003"/>
    <n v="56"/>
    <n v="103"/>
    <n v="159"/>
    <n v="29"/>
    <n v="9"/>
    <n v="26"/>
    <n v="32"/>
    <n v="67"/>
    <n v="117"/>
    <x v="17"/>
  </r>
  <r>
    <m/>
    <x v="12"/>
    <m/>
    <m/>
    <m/>
    <m/>
    <m/>
    <m/>
    <m/>
    <m/>
    <m/>
    <m/>
    <m/>
    <m/>
    <m/>
    <m/>
    <m/>
    <m/>
    <m/>
    <m/>
    <m/>
    <m/>
    <m/>
    <m/>
    <m/>
    <m/>
    <m/>
    <x v="1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203903"/>
    <x v="0"/>
    <n v="0"/>
    <n v="1610612747"/>
    <s v="LAL"/>
    <n v="23"/>
    <n v="59"/>
    <n v="38"/>
    <n v="1476"/>
    <n v="267"/>
    <n v="596"/>
    <x v="0"/>
    <n v="38"/>
    <n v="121"/>
    <n v="0.314"/>
    <n v="131"/>
    <n v="158"/>
    <n v="0.82899999999999996"/>
    <n v="56"/>
    <n v="135"/>
    <n v="191"/>
    <n v="206"/>
    <n v="51"/>
    <n v="12"/>
    <n v="96"/>
    <n v="109"/>
    <n v="703"/>
    <x v="0"/>
  </r>
  <r>
    <n v="203903"/>
    <x v="1"/>
    <n v="0"/>
    <n v="1610612747"/>
    <s v="LAL"/>
    <n v="24"/>
    <n v="79"/>
    <n v="79"/>
    <n v="2552"/>
    <n v="475"/>
    <n v="1098"/>
    <x v="1"/>
    <n v="111"/>
    <n v="320"/>
    <n v="0.34699999999999998"/>
    <n v="164"/>
    <n v="204"/>
    <n v="0.80400000000000005"/>
    <n v="93"/>
    <n v="220"/>
    <n v="313"/>
    <n v="192"/>
    <n v="88"/>
    <n v="7"/>
    <n v="135"/>
    <n v="168"/>
    <n v="1225"/>
    <x v="0"/>
  </r>
  <r>
    <n v="203903"/>
    <x v="2"/>
    <n v="0"/>
    <n v="1610612747"/>
    <s v="LAL"/>
    <n v="25"/>
    <n v="82"/>
    <n v="19"/>
    <n v="2397"/>
    <n v="477"/>
    <n v="1071"/>
    <x v="2"/>
    <n v="117"/>
    <n v="356"/>
    <n v="0.32900000000000001"/>
    <n v="134"/>
    <n v="168"/>
    <n v="0.79800000000000004"/>
    <n v="49"/>
    <n v="197"/>
    <n v="246"/>
    <n v="213"/>
    <n v="88"/>
    <n v="8"/>
    <n v="164"/>
    <n v="150"/>
    <n v="1205"/>
    <x v="0"/>
  </r>
  <r>
    <n v="203903"/>
    <x v="3"/>
    <n v="0"/>
    <n v="1610612747"/>
    <s v="LAL"/>
    <n v="26"/>
    <n v="53"/>
    <n v="2"/>
    <n v="1256"/>
    <n v="299"/>
    <n v="667"/>
    <x v="0"/>
    <n v="68"/>
    <n v="210"/>
    <n v="0.32400000000000001"/>
    <n v="105"/>
    <n v="132"/>
    <n v="0.79500000000000004"/>
    <n v="44"/>
    <n v="115"/>
    <n v="159"/>
    <n v="173"/>
    <n v="39"/>
    <n v="3"/>
    <n v="95"/>
    <n v="63"/>
    <n v="771"/>
    <x v="0"/>
  </r>
  <r>
    <n v="203903"/>
    <x v="3"/>
    <n v="0"/>
    <n v="1610612739"/>
    <s v="CLE"/>
    <n v="26"/>
    <n v="28"/>
    <n v="0"/>
    <n v="632"/>
    <n v="131"/>
    <n v="287"/>
    <x v="3"/>
    <n v="44"/>
    <n v="108"/>
    <n v="0.40699999999999997"/>
    <n v="47"/>
    <n v="58"/>
    <n v="0.81"/>
    <n v="13"/>
    <n v="45"/>
    <n v="58"/>
    <n v="48"/>
    <n v="19"/>
    <n v="3"/>
    <n v="32"/>
    <n v="44"/>
    <n v="353"/>
    <x v="0"/>
  </r>
  <r>
    <n v="203903"/>
    <x v="3"/>
    <n v="0"/>
    <n v="0"/>
    <s v="TOT"/>
    <n v="26"/>
    <n v="81"/>
    <n v="2"/>
    <n v="1887"/>
    <n v="430"/>
    <n v="954"/>
    <x v="4"/>
    <n v="112"/>
    <n v="318"/>
    <n v="0.35199999999999998"/>
    <n v="152"/>
    <n v="190"/>
    <n v="0.8"/>
    <n v="57"/>
    <n v="160"/>
    <n v="217"/>
    <n v="221"/>
    <n v="58"/>
    <n v="6"/>
    <n v="127"/>
    <n v="107"/>
    <n v="1124"/>
    <x v="0"/>
  </r>
  <r>
    <n v="203903"/>
    <x v="4"/>
    <n v="0"/>
    <n v="1610612739"/>
    <s v="CLE"/>
    <n v="27"/>
    <n v="81"/>
    <n v="0"/>
    <n v="2215"/>
    <n v="529"/>
    <n v="1180"/>
    <x v="0"/>
    <n v="144"/>
    <n v="445"/>
    <n v="0.32400000000000001"/>
    <n v="162"/>
    <n v="192"/>
    <n v="0.84399999999999997"/>
    <n v="82"/>
    <n v="188"/>
    <n v="270"/>
    <n v="196"/>
    <n v="57"/>
    <n v="13"/>
    <n v="135"/>
    <n v="112"/>
    <n v="1364"/>
    <x v="0"/>
  </r>
  <r>
    <n v="203903"/>
    <x v="5"/>
    <n v="0"/>
    <n v="1610612739"/>
    <s v="CLE"/>
    <n v="28"/>
    <n v="29"/>
    <n v="0"/>
    <n v="666"/>
    <n v="144"/>
    <n v="326"/>
    <x v="5"/>
    <n v="59"/>
    <n v="159"/>
    <n v="0.371"/>
    <n v="76"/>
    <n v="86"/>
    <n v="0.88400000000000001"/>
    <n v="21"/>
    <n v="48"/>
    <n v="69"/>
    <n v="70"/>
    <n v="17"/>
    <n v="8"/>
    <n v="39"/>
    <n v="33"/>
    <n v="423"/>
    <x v="0"/>
  </r>
  <r>
    <n v="203903"/>
    <x v="5"/>
    <n v="0"/>
    <n v="1610612762"/>
    <s v="UTA"/>
    <n v="28"/>
    <n v="42"/>
    <n v="2"/>
    <n v="1039"/>
    <n v="250"/>
    <n v="541"/>
    <x v="6"/>
    <n v="93"/>
    <n v="254"/>
    <n v="0.36599999999999999"/>
    <n v="62"/>
    <n v="79"/>
    <n v="0.78500000000000003"/>
    <n v="29"/>
    <n v="89"/>
    <n v="118"/>
    <n v="66"/>
    <n v="29"/>
    <n v="8"/>
    <n v="58"/>
    <n v="75"/>
    <n v="655"/>
    <x v="0"/>
  </r>
  <r>
    <n v="203903"/>
    <x v="5"/>
    <n v="0"/>
    <n v="0"/>
    <s v="TOT"/>
    <n v="28"/>
    <n v="71"/>
    <n v="2"/>
    <n v="1705"/>
    <n v="394"/>
    <n v="867"/>
    <x v="7"/>
    <n v="152"/>
    <n v="413"/>
    <n v="0.36799999999999999"/>
    <n v="138"/>
    <n v="165"/>
    <n v="0.83599999999999997"/>
    <n v="50"/>
    <n v="137"/>
    <n v="187"/>
    <n v="136"/>
    <n v="46"/>
    <n v="16"/>
    <n v="97"/>
    <n v="108"/>
    <n v="1078"/>
    <x v="0"/>
  </r>
  <r>
    <n v="203903"/>
    <x v="6"/>
    <n v="0"/>
    <n v="1610612762"/>
    <s v="UTA"/>
    <n v="29"/>
    <n v="68"/>
    <n v="1"/>
    <n v="1818"/>
    <n v="457"/>
    <n v="1075"/>
    <x v="8"/>
    <n v="208"/>
    <n v="599"/>
    <n v="0.34699999999999998"/>
    <n v="129"/>
    <n v="144"/>
    <n v="0.89600000000000002"/>
    <n v="47"/>
    <n v="227"/>
    <n v="274"/>
    <n v="168"/>
    <n v="61"/>
    <n v="10"/>
    <n v="115"/>
    <n v="110"/>
    <n v="1251"/>
    <x v="0"/>
  </r>
  <r>
    <n v="203903"/>
    <x v="7"/>
    <n v="0"/>
    <n v="1610612762"/>
    <s v="UTA"/>
    <n v="30"/>
    <n v="79"/>
    <n v="1"/>
    <n v="2141"/>
    <n v="466"/>
    <n v="1113"/>
    <x v="9"/>
    <n v="190"/>
    <n v="597"/>
    <n v="0.318"/>
    <n v="144"/>
    <n v="174"/>
    <n v="0.82799999999999996"/>
    <n v="67"/>
    <n v="206"/>
    <n v="273"/>
    <n v="194"/>
    <n v="66"/>
    <n v="16"/>
    <n v="129"/>
    <n v="149"/>
    <n v="1266"/>
    <x v="0"/>
  </r>
  <r>
    <n v="203903"/>
    <x v="8"/>
    <n v="0"/>
    <n v="1610612762"/>
    <s v="UTA"/>
    <n v="31"/>
    <n v="61"/>
    <n v="61"/>
    <n v="1988"/>
    <n v="458"/>
    <n v="1031"/>
    <x v="10"/>
    <n v="155"/>
    <n v="459"/>
    <n v="0.33800000000000002"/>
    <n v="200"/>
    <n v="245"/>
    <n v="0.81599999999999995"/>
    <n v="72"/>
    <n v="174"/>
    <n v="246"/>
    <n v="270"/>
    <n v="33"/>
    <n v="13"/>
    <n v="186"/>
    <n v="120"/>
    <n v="1271"/>
    <x v="0"/>
  </r>
  <r>
    <n v="203903"/>
    <x v="9"/>
    <n v="0"/>
    <n v="1610612762"/>
    <s v="UTA"/>
    <n v="32"/>
    <n v="55"/>
    <n v="19"/>
    <n v="1682"/>
    <n v="337"/>
    <n v="816"/>
    <x v="11"/>
    <n v="91"/>
    <n v="309"/>
    <n v="0.29399999999999998"/>
    <n v="177"/>
    <n v="201"/>
    <n v="0.88100000000000001"/>
    <n v="49"/>
    <n v="139"/>
    <n v="188"/>
    <n v="277"/>
    <n v="35"/>
    <n v="6"/>
    <n v="146"/>
    <n v="81"/>
    <n v="942"/>
    <x v="0"/>
  </r>
  <r>
    <n v="203903"/>
    <x v="10"/>
    <n v="0"/>
    <n v="1610612762"/>
    <s v="UTA"/>
    <n v="33"/>
    <n v="37"/>
    <n v="9"/>
    <n v="962"/>
    <n v="201"/>
    <n v="493"/>
    <x v="12"/>
    <n v="84"/>
    <n v="232"/>
    <n v="0.36199999999999999"/>
    <n v="114"/>
    <n v="143"/>
    <n v="0.79700000000000004"/>
    <n v="25"/>
    <n v="93"/>
    <n v="118"/>
    <n v="138"/>
    <n v="31"/>
    <n v="9"/>
    <n v="86"/>
    <n v="52"/>
    <n v="600"/>
    <x v="0"/>
  </r>
  <r>
    <n v="203903"/>
    <x v="11"/>
    <n v="0"/>
    <n v="1610612752"/>
    <s v="NYK"/>
    <n v="34"/>
    <n v="72"/>
    <n v="1"/>
    <n v="1279"/>
    <n v="237"/>
    <n v="526"/>
    <x v="4"/>
    <n v="70"/>
    <n v="214"/>
    <n v="0.32700000000000001"/>
    <n v="78"/>
    <n v="94"/>
    <n v="0.83"/>
    <n v="62"/>
    <n v="65"/>
    <n v="127"/>
    <n v="96"/>
    <n v="30"/>
    <n v="9"/>
    <n v="63"/>
    <n v="123"/>
    <n v="622"/>
    <x v="0"/>
  </r>
  <r>
    <n v="1641794"/>
    <x v="10"/>
    <n v="0"/>
    <n v="1610612760"/>
    <s v="OKC"/>
    <n v="23"/>
    <n v="54"/>
    <n v="3"/>
    <n v="552"/>
    <n v="51"/>
    <n v="133"/>
    <x v="13"/>
    <n v="16"/>
    <n v="63"/>
    <n v="0.254"/>
    <n v="17"/>
    <n v="28"/>
    <n v="0.60699999999999998"/>
    <n v="30"/>
    <n v="91"/>
    <n v="121"/>
    <n v="58"/>
    <n v="16"/>
    <n v="4"/>
    <n v="28"/>
    <n v="54"/>
    <n v="135"/>
    <x v="1"/>
  </r>
  <r>
    <n v="1641794"/>
    <x v="11"/>
    <n v="0"/>
    <n v="1610612752"/>
    <s v="NYK"/>
    <n v="24"/>
    <n v="7"/>
    <n v="0"/>
    <n v="39"/>
    <n v="2"/>
    <n v="9"/>
    <x v="14"/>
    <n v="1"/>
    <n v="5"/>
    <n v="0.2"/>
    <n v="4"/>
    <n v="4"/>
    <n v="1"/>
    <n v="2"/>
    <n v="5"/>
    <n v="7"/>
    <n v="4"/>
    <n v="3"/>
    <n v="0"/>
    <n v="0"/>
    <n v="6"/>
    <n v="9"/>
    <x v="1"/>
  </r>
  <r>
    <n v="1630540"/>
    <x v="7"/>
    <n v="0"/>
    <n v="1610612752"/>
    <s v="NYK"/>
    <n v="21"/>
    <n v="40"/>
    <n v="2"/>
    <n v="372"/>
    <n v="32"/>
    <n v="108"/>
    <x v="15"/>
    <n v="17"/>
    <n v="68"/>
    <n v="0.25"/>
    <n v="8"/>
    <n v="12"/>
    <n v="0.66700000000000004"/>
    <n v="4"/>
    <n v="38"/>
    <n v="42"/>
    <n v="41"/>
    <n v="14"/>
    <n v="1"/>
    <n v="5"/>
    <n v="45"/>
    <n v="89"/>
    <x v="2"/>
  </r>
  <r>
    <n v="1630540"/>
    <x v="8"/>
    <n v="0"/>
    <n v="1610612752"/>
    <s v="NYK"/>
    <n v="22"/>
    <n v="64"/>
    <n v="2"/>
    <n v="760"/>
    <n v="77"/>
    <n v="215"/>
    <x v="16"/>
    <n v="40"/>
    <n v="134"/>
    <n v="0.29899999999999999"/>
    <n v="28"/>
    <n v="42"/>
    <n v="0.66700000000000004"/>
    <n v="13"/>
    <n v="37"/>
    <n v="50"/>
    <n v="72"/>
    <n v="37"/>
    <n v="8"/>
    <n v="25"/>
    <n v="60"/>
    <n v="222"/>
    <x v="2"/>
  </r>
  <r>
    <n v="1630540"/>
    <x v="9"/>
    <n v="0"/>
    <n v="1610612752"/>
    <s v="NYK"/>
    <n v="23"/>
    <n v="68"/>
    <n v="14"/>
    <n v="1328"/>
    <n v="205"/>
    <n v="454"/>
    <x v="17"/>
    <n v="109"/>
    <n v="266"/>
    <n v="0.41"/>
    <n v="43"/>
    <n v="50"/>
    <n v="0.86"/>
    <n v="31"/>
    <n v="69"/>
    <n v="100"/>
    <n v="114"/>
    <n v="50"/>
    <n v="7"/>
    <n v="30"/>
    <n v="108"/>
    <n v="562"/>
    <x v="2"/>
  </r>
  <r>
    <n v="1630540"/>
    <x v="10"/>
    <n v="0"/>
    <n v="1610612752"/>
    <s v="NYK"/>
    <n v="24"/>
    <n v="64"/>
    <n v="10"/>
    <n v="1593"/>
    <n v="222"/>
    <n v="547"/>
    <x v="18"/>
    <n v="115"/>
    <n v="312"/>
    <n v="0.36899999999999999"/>
    <n v="52"/>
    <n v="64"/>
    <n v="0.81299999999999994"/>
    <n v="47"/>
    <n v="114"/>
    <n v="161"/>
    <n v="187"/>
    <n v="67"/>
    <n v="17"/>
    <n v="41"/>
    <n v="108"/>
    <n v="611"/>
    <x v="2"/>
  </r>
  <r>
    <n v="1630540"/>
    <x v="11"/>
    <n v="0"/>
    <n v="1610612752"/>
    <s v="NYK"/>
    <n v="25"/>
    <n v="41"/>
    <n v="15"/>
    <n v="1080"/>
    <n v="171"/>
    <n v="404"/>
    <x v="19"/>
    <n v="112"/>
    <n v="271"/>
    <n v="0.41299999999999998"/>
    <n v="37"/>
    <n v="47"/>
    <n v="0.78700000000000003"/>
    <n v="24"/>
    <n v="76"/>
    <n v="100"/>
    <n v="106"/>
    <n v="35"/>
    <n v="9"/>
    <n v="33"/>
    <n v="70"/>
    <n v="491"/>
    <x v="2"/>
  </r>
  <r>
    <n v="1628404"/>
    <x v="3"/>
    <n v="0"/>
    <n v="1610612747"/>
    <s v="LAL"/>
    <n v="23"/>
    <n v="63"/>
    <n v="23"/>
    <n v="1461"/>
    <n v="176"/>
    <n v="375"/>
    <x v="20"/>
    <n v="78"/>
    <n v="197"/>
    <n v="0.39600000000000002"/>
    <n v="66"/>
    <n v="94"/>
    <n v="0.70199999999999996"/>
    <n v="42"/>
    <n v="221"/>
    <n v="263"/>
    <n v="80"/>
    <n v="47"/>
    <n v="16"/>
    <n v="47"/>
    <n v="107"/>
    <n v="496"/>
    <x v="3"/>
  </r>
  <r>
    <n v="1628404"/>
    <x v="4"/>
    <n v="0"/>
    <n v="1610612747"/>
    <s v="LAL"/>
    <n v="24"/>
    <n v="67"/>
    <n v="22"/>
    <n v="1715"/>
    <n v="189"/>
    <n v="464"/>
    <x v="21"/>
    <n v="92"/>
    <n v="274"/>
    <n v="0.33600000000000002"/>
    <n v="55"/>
    <n v="80"/>
    <n v="0.68799999999999994"/>
    <n v="35"/>
    <n v="213"/>
    <n v="248"/>
    <n v="93"/>
    <n v="64"/>
    <n v="40"/>
    <n v="58"/>
    <n v="147"/>
    <n v="525"/>
    <x v="3"/>
  </r>
  <r>
    <n v="1628404"/>
    <x v="5"/>
    <n v="0"/>
    <n v="1610612740"/>
    <s v="NOP"/>
    <n v="25"/>
    <n v="65"/>
    <n v="16"/>
    <n v="1755"/>
    <n v="225"/>
    <n v="532"/>
    <x v="19"/>
    <n v="121"/>
    <n v="354"/>
    <n v="0.34200000000000003"/>
    <n v="85"/>
    <n v="115"/>
    <n v="0.73899999999999999"/>
    <n v="61"/>
    <n v="364"/>
    <n v="425"/>
    <n v="108"/>
    <n v="63"/>
    <n v="23"/>
    <n v="75"/>
    <n v="160"/>
    <n v="656"/>
    <x v="3"/>
  </r>
  <r>
    <n v="1628404"/>
    <x v="6"/>
    <n v="0"/>
    <n v="1610612740"/>
    <s v="NOP"/>
    <n v="26"/>
    <n v="47"/>
    <n v="4"/>
    <n v="1350"/>
    <n v="151"/>
    <n v="344"/>
    <x v="22"/>
    <n v="63"/>
    <n v="193"/>
    <n v="0.32600000000000001"/>
    <n v="69"/>
    <n v="89"/>
    <n v="0.77500000000000002"/>
    <n v="53"/>
    <n v="324"/>
    <n v="377"/>
    <n v="109"/>
    <n v="38"/>
    <n v="12"/>
    <n v="49"/>
    <n v="111"/>
    <n v="434"/>
    <x v="3"/>
  </r>
  <r>
    <n v="1628404"/>
    <x v="7"/>
    <n v="0"/>
    <n v="1610612740"/>
    <s v="NOP"/>
    <n v="27"/>
    <n v="41"/>
    <n v="40"/>
    <n v="1374"/>
    <n v="195"/>
    <n v="386"/>
    <x v="23"/>
    <n v="42"/>
    <n v="130"/>
    <n v="0.32300000000000001"/>
    <n v="116"/>
    <n v="154"/>
    <n v="0.753"/>
    <n v="53"/>
    <n v="265"/>
    <n v="318"/>
    <n v="168"/>
    <n v="45"/>
    <n v="11"/>
    <n v="81"/>
    <n v="118"/>
    <n v="548"/>
    <x v="3"/>
  </r>
  <r>
    <n v="1628404"/>
    <x v="7"/>
    <n v="0"/>
    <n v="1610612757"/>
    <s v="POR"/>
    <n v="27"/>
    <n v="13"/>
    <n v="13"/>
    <n v="417"/>
    <n v="92"/>
    <n v="183"/>
    <x v="24"/>
    <n v="31"/>
    <n v="83"/>
    <n v="0.373"/>
    <n v="44"/>
    <n v="57"/>
    <n v="0.77200000000000002"/>
    <n v="9"/>
    <n v="61"/>
    <n v="70"/>
    <n v="56"/>
    <n v="16"/>
    <n v="2"/>
    <n v="33"/>
    <n v="32"/>
    <n v="259"/>
    <x v="3"/>
  </r>
  <r>
    <n v="1628404"/>
    <x v="7"/>
    <n v="0"/>
    <n v="0"/>
    <s v="TOT"/>
    <n v="27"/>
    <n v="54"/>
    <n v="53"/>
    <n v="1791"/>
    <n v="287"/>
    <n v="569"/>
    <x v="25"/>
    <n v="73"/>
    <n v="213"/>
    <n v="0.34300000000000003"/>
    <n v="160"/>
    <n v="211"/>
    <n v="0.75800000000000001"/>
    <n v="62"/>
    <n v="326"/>
    <n v="388"/>
    <n v="224"/>
    <n v="61"/>
    <n v="13"/>
    <n v="114"/>
    <n v="150"/>
    <n v="807"/>
    <x v="3"/>
  </r>
  <r>
    <n v="1628404"/>
    <x v="8"/>
    <n v="0"/>
    <n v="1610612757"/>
    <s v="POR"/>
    <n v="28"/>
    <n v="51"/>
    <n v="51"/>
    <n v="1704"/>
    <n v="183"/>
    <n v="363"/>
    <x v="25"/>
    <n v="34"/>
    <n v="112"/>
    <n v="0.30399999999999999"/>
    <n v="87"/>
    <n v="119"/>
    <n v="0.73099999999999998"/>
    <n v="95"/>
    <n v="322"/>
    <n v="417"/>
    <n v="200"/>
    <n v="54"/>
    <n v="9"/>
    <n v="79"/>
    <n v="133"/>
    <n v="487"/>
    <x v="3"/>
  </r>
  <r>
    <n v="1628404"/>
    <x v="8"/>
    <n v="0"/>
    <n v="1610612752"/>
    <s v="NYK"/>
    <n v="28"/>
    <n v="25"/>
    <n v="1"/>
    <n v="750"/>
    <n v="92"/>
    <n v="157"/>
    <x v="26"/>
    <n v="27"/>
    <n v="52"/>
    <n v="0.51900000000000002"/>
    <n v="45"/>
    <n v="57"/>
    <n v="0.78900000000000003"/>
    <n v="47"/>
    <n v="129"/>
    <n v="176"/>
    <n v="90"/>
    <n v="34"/>
    <n v="12"/>
    <n v="38"/>
    <n v="62"/>
    <n v="256"/>
    <x v="3"/>
  </r>
  <r>
    <n v="1628404"/>
    <x v="8"/>
    <n v="0"/>
    <n v="0"/>
    <s v="TOT"/>
    <n v="28"/>
    <n v="76"/>
    <n v="52"/>
    <n v="2454"/>
    <n v="275"/>
    <n v="520"/>
    <x v="27"/>
    <n v="61"/>
    <n v="164"/>
    <n v="0.372"/>
    <n v="132"/>
    <n v="176"/>
    <n v="0.75"/>
    <n v="142"/>
    <n v="451"/>
    <n v="593"/>
    <n v="290"/>
    <n v="88"/>
    <n v="21"/>
    <n v="117"/>
    <n v="195"/>
    <n v="743"/>
    <x v="3"/>
  </r>
  <r>
    <n v="1628404"/>
    <x v="9"/>
    <n v="0"/>
    <n v="1610612752"/>
    <s v="NYK"/>
    <n v="29"/>
    <n v="81"/>
    <n v="42"/>
    <n v="2707"/>
    <n v="295"/>
    <n v="679"/>
    <x v="28"/>
    <n v="80"/>
    <n v="258"/>
    <n v="0.31"/>
    <n v="91"/>
    <n v="115"/>
    <n v="0.79100000000000004"/>
    <n v="128"/>
    <n v="547"/>
    <n v="675"/>
    <n v="331"/>
    <n v="75"/>
    <n v="23"/>
    <n v="118"/>
    <n v="171"/>
    <n v="761"/>
    <x v="3"/>
  </r>
  <r>
    <n v="1628404"/>
    <x v="10"/>
    <n v="0"/>
    <n v="1610612752"/>
    <s v="NYK"/>
    <n v="30"/>
    <n v="77"/>
    <n v="77"/>
    <n v="2897"/>
    <n v="404"/>
    <n v="770"/>
    <x v="29"/>
    <n v="84"/>
    <n v="252"/>
    <n v="0.33300000000000002"/>
    <n v="159"/>
    <n v="205"/>
    <n v="0.77600000000000002"/>
    <n v="161"/>
    <n v="576"/>
    <n v="737"/>
    <n v="453"/>
    <n v="119"/>
    <n v="27"/>
    <n v="158"/>
    <n v="201"/>
    <n v="1051"/>
    <x v="3"/>
  </r>
  <r>
    <n v="1628404"/>
    <x v="11"/>
    <n v="0"/>
    <n v="1610612752"/>
    <s v="NYK"/>
    <n v="31"/>
    <n v="66"/>
    <n v="52"/>
    <n v="1994"/>
    <n v="301"/>
    <n v="592"/>
    <x v="30"/>
    <n v="100"/>
    <n v="242"/>
    <n v="0.41299999999999998"/>
    <n v="90"/>
    <n v="125"/>
    <n v="0.72"/>
    <n v="93"/>
    <n v="393"/>
    <n v="486"/>
    <n v="317"/>
    <n v="75"/>
    <n v="17"/>
    <n v="128"/>
    <n v="165"/>
    <n v="792"/>
    <x v="3"/>
  </r>
  <r>
    <n v="1642359"/>
    <x v="10"/>
    <n v="0"/>
    <n v="1610612752"/>
    <s v="NYK"/>
    <n v="19"/>
    <n v="18"/>
    <n v="0"/>
    <n v="111"/>
    <n v="10"/>
    <n v="31"/>
    <x v="31"/>
    <n v="6"/>
    <n v="19"/>
    <n v="0.316"/>
    <n v="4"/>
    <n v="6"/>
    <n v="0.66700000000000004"/>
    <n v="3"/>
    <n v="15"/>
    <n v="18"/>
    <n v="5"/>
    <n v="3"/>
    <n v="2"/>
    <n v="4"/>
    <n v="7"/>
    <n v="30"/>
    <x v="4"/>
  </r>
  <r>
    <n v="1642359"/>
    <x v="11"/>
    <n v="0"/>
    <n v="1610612752"/>
    <s v="NYK"/>
    <n v="20"/>
    <n v="29"/>
    <n v="0"/>
    <n v="136"/>
    <n v="16"/>
    <n v="48"/>
    <x v="32"/>
    <n v="7"/>
    <n v="32"/>
    <n v="0.219"/>
    <n v="9"/>
    <n v="11"/>
    <n v="0.81799999999999995"/>
    <n v="4"/>
    <n v="23"/>
    <n v="27"/>
    <n v="12"/>
    <n v="3"/>
    <n v="1"/>
    <n v="3"/>
    <n v="8"/>
    <n v="48"/>
    <x v="4"/>
  </r>
  <r>
    <n v="1630631"/>
    <x v="7"/>
    <n v="0"/>
    <n v="1610612740"/>
    <s v="NOP"/>
    <n v="24"/>
    <n v="54"/>
    <n v="1"/>
    <n v="834"/>
    <n v="131"/>
    <n v="294"/>
    <x v="33"/>
    <n v="32"/>
    <n v="110"/>
    <n v="0.29099999999999998"/>
    <n v="36"/>
    <n v="53"/>
    <n v="0.67900000000000005"/>
    <n v="25"/>
    <n v="75"/>
    <n v="100"/>
    <n v="152"/>
    <n v="71"/>
    <n v="7"/>
    <n v="40"/>
    <n v="73"/>
    <n v="330"/>
    <x v="5"/>
  </r>
  <r>
    <n v="1630631"/>
    <x v="8"/>
    <n v="0"/>
    <n v="1610612740"/>
    <s v="NOP"/>
    <n v="25"/>
    <n v="61"/>
    <n v="10"/>
    <n v="1310"/>
    <n v="201"/>
    <n v="489"/>
    <x v="34"/>
    <n v="83"/>
    <n v="247"/>
    <n v="0.33600000000000002"/>
    <n v="65"/>
    <n v="80"/>
    <n v="0.81299999999999994"/>
    <n v="28"/>
    <n v="113"/>
    <n v="141"/>
    <n v="186"/>
    <n v="67"/>
    <n v="10"/>
    <n v="81"/>
    <n v="125"/>
    <n v="550"/>
    <x v="5"/>
  </r>
  <r>
    <n v="1630631"/>
    <x v="9"/>
    <n v="0"/>
    <n v="1610612740"/>
    <s v="NOP"/>
    <n v="26"/>
    <n v="56"/>
    <n v="0"/>
    <n v="1028"/>
    <n v="142"/>
    <n v="345"/>
    <x v="35"/>
    <n v="78"/>
    <n v="207"/>
    <n v="0.377"/>
    <n v="35"/>
    <n v="52"/>
    <n v="0.67300000000000004"/>
    <n v="25"/>
    <n v="103"/>
    <n v="128"/>
    <n v="117"/>
    <n v="59"/>
    <n v="15"/>
    <n v="40"/>
    <n v="89"/>
    <n v="397"/>
    <x v="5"/>
  </r>
  <r>
    <n v="1630631"/>
    <x v="10"/>
    <n v="0"/>
    <n v="1610612740"/>
    <s v="NOP"/>
    <n v="27"/>
    <n v="56"/>
    <n v="23"/>
    <n v="1366"/>
    <n v="204"/>
    <n v="521"/>
    <x v="36"/>
    <n v="111"/>
    <n v="309"/>
    <n v="0.35899999999999999"/>
    <n v="60"/>
    <n v="74"/>
    <n v="0.81100000000000005"/>
    <n v="27"/>
    <n v="109"/>
    <n v="136"/>
    <n v="259"/>
    <n v="74"/>
    <n v="14"/>
    <n v="86"/>
    <n v="91"/>
    <n v="579"/>
    <x v="5"/>
  </r>
  <r>
    <n v="1630631"/>
    <x v="11"/>
    <n v="0"/>
    <n v="1610612740"/>
    <s v="NOP"/>
    <n v="28"/>
    <n v="41"/>
    <n v="0"/>
    <n v="896"/>
    <n v="117"/>
    <n v="280"/>
    <x v="37"/>
    <n v="70"/>
    <n v="193"/>
    <n v="0.36299999999999999"/>
    <n v="20"/>
    <n v="24"/>
    <n v="0.83299999999999996"/>
    <n v="16"/>
    <n v="98"/>
    <n v="114"/>
    <n v="128"/>
    <n v="37"/>
    <n v="4"/>
    <n v="47"/>
    <n v="80"/>
    <n v="324"/>
    <x v="5"/>
  </r>
  <r>
    <n v="1630631"/>
    <x v="11"/>
    <n v="0"/>
    <n v="1610612752"/>
    <s v="NYK"/>
    <n v="28"/>
    <n v="28"/>
    <n v="3"/>
    <n v="474"/>
    <n v="70"/>
    <n v="169"/>
    <x v="38"/>
    <n v="31"/>
    <n v="94"/>
    <n v="0.33"/>
    <n v="15"/>
    <n v="22"/>
    <n v="0.68200000000000005"/>
    <n v="10"/>
    <n v="47"/>
    <n v="57"/>
    <n v="106"/>
    <n v="29"/>
    <n v="4"/>
    <n v="30"/>
    <n v="49"/>
    <n v="186"/>
    <x v="5"/>
  </r>
  <r>
    <n v="1630631"/>
    <x v="11"/>
    <n v="0"/>
    <n v="0"/>
    <s v="TOT"/>
    <n v="28"/>
    <n v="69"/>
    <n v="3"/>
    <n v="1370"/>
    <n v="187"/>
    <n v="449"/>
    <x v="39"/>
    <n v="101"/>
    <n v="287"/>
    <n v="0.35199999999999998"/>
    <n v="35"/>
    <n v="46"/>
    <n v="0.76100000000000001"/>
    <n v="26"/>
    <n v="145"/>
    <n v="171"/>
    <n v="234"/>
    <n v="66"/>
    <n v="8"/>
    <n v="77"/>
    <n v="129"/>
    <n v="510"/>
    <x v="5"/>
  </r>
  <r>
    <n v="1628384"/>
    <x v="3"/>
    <n v="0"/>
    <n v="1610612761"/>
    <s v="TOR"/>
    <n v="20"/>
    <n v="74"/>
    <n v="62"/>
    <n v="1481"/>
    <n v="163"/>
    <n v="346"/>
    <x v="40"/>
    <n v="73"/>
    <n v="197"/>
    <n v="0.371"/>
    <n v="39"/>
    <n v="62"/>
    <n v="0.629"/>
    <n v="44"/>
    <n v="140"/>
    <n v="184"/>
    <n v="55"/>
    <n v="52"/>
    <n v="14"/>
    <n v="45"/>
    <n v="130"/>
    <n v="438"/>
    <x v="6"/>
  </r>
  <r>
    <n v="1628384"/>
    <x v="4"/>
    <n v="0"/>
    <n v="1610612761"/>
    <s v="TOR"/>
    <n v="21"/>
    <n v="67"/>
    <n v="6"/>
    <n v="1352"/>
    <n v="183"/>
    <n v="404"/>
    <x v="41"/>
    <n v="67"/>
    <n v="202"/>
    <n v="0.33200000000000002"/>
    <n v="36"/>
    <n v="62"/>
    <n v="0.58099999999999996"/>
    <n v="58"/>
    <n v="139"/>
    <n v="197"/>
    <n v="47"/>
    <n v="46"/>
    <n v="22"/>
    <n v="55"/>
    <n v="140"/>
    <n v="469"/>
    <x v="6"/>
  </r>
  <r>
    <n v="1628384"/>
    <x v="5"/>
    <n v="0"/>
    <n v="1610612761"/>
    <s v="TOR"/>
    <n v="22"/>
    <n v="69"/>
    <n v="68"/>
    <n v="2066"/>
    <n v="286"/>
    <n v="566"/>
    <x v="23"/>
    <n v="89"/>
    <n v="228"/>
    <n v="0.39"/>
    <n v="72"/>
    <n v="102"/>
    <n v="0.70599999999999996"/>
    <n v="80"/>
    <n v="284"/>
    <n v="364"/>
    <n v="108"/>
    <n v="96"/>
    <n v="45"/>
    <n v="79"/>
    <n v="167"/>
    <n v="733"/>
    <x v="6"/>
  </r>
  <r>
    <n v="1628384"/>
    <x v="6"/>
    <n v="0"/>
    <n v="1610612761"/>
    <s v="TOR"/>
    <n v="23"/>
    <n v="43"/>
    <n v="43"/>
    <n v="1433"/>
    <n v="249"/>
    <n v="519"/>
    <x v="42"/>
    <n v="104"/>
    <n v="261"/>
    <n v="0.39800000000000002"/>
    <n v="80"/>
    <n v="102"/>
    <n v="0.78400000000000003"/>
    <n v="54"/>
    <n v="183"/>
    <n v="237"/>
    <n v="94"/>
    <n v="66"/>
    <n v="32"/>
    <n v="75"/>
    <n v="114"/>
    <n v="682"/>
    <x v="6"/>
  </r>
  <r>
    <n v="1628384"/>
    <x v="7"/>
    <n v="0"/>
    <n v="1610612761"/>
    <s v="TOR"/>
    <n v="24"/>
    <n v="48"/>
    <n v="48"/>
    <n v="1728"/>
    <n v="309"/>
    <n v="697"/>
    <x v="43"/>
    <n v="115"/>
    <n v="317"/>
    <n v="0.36299999999999999"/>
    <n v="89"/>
    <n v="118"/>
    <n v="0.754"/>
    <n v="74"/>
    <n v="190"/>
    <n v="264"/>
    <n v="125"/>
    <n v="71"/>
    <n v="25"/>
    <n v="80"/>
    <n v="131"/>
    <n v="822"/>
    <x v="6"/>
  </r>
  <r>
    <n v="1628384"/>
    <x v="8"/>
    <n v="0"/>
    <n v="1610612761"/>
    <s v="TOR"/>
    <n v="25"/>
    <n v="67"/>
    <n v="67"/>
    <n v="2386"/>
    <n v="421"/>
    <n v="885"/>
    <x v="44"/>
    <n v="142"/>
    <n v="367"/>
    <n v="0.38700000000000001"/>
    <n v="140"/>
    <n v="167"/>
    <n v="0.83799999999999997"/>
    <n v="95"/>
    <n v="237"/>
    <n v="332"/>
    <n v="131"/>
    <n v="128"/>
    <n v="50"/>
    <n v="132"/>
    <n v="200"/>
    <n v="1124"/>
    <x v="6"/>
  </r>
  <r>
    <n v="1628384"/>
    <x v="9"/>
    <n v="0"/>
    <n v="1610612761"/>
    <s v="TOR"/>
    <n v="26"/>
    <n v="27"/>
    <n v="27"/>
    <n v="900"/>
    <n v="157"/>
    <n v="321"/>
    <x v="45"/>
    <n v="61"/>
    <n v="163"/>
    <n v="0.374"/>
    <n v="33"/>
    <n v="46"/>
    <n v="0.71699999999999997"/>
    <n v="24"/>
    <n v="82"/>
    <n v="106"/>
    <n v="72"/>
    <n v="28"/>
    <n v="13"/>
    <n v="43"/>
    <n v="62"/>
    <n v="408"/>
    <x v="6"/>
  </r>
  <r>
    <n v="1628384"/>
    <x v="9"/>
    <n v="0"/>
    <n v="1610612752"/>
    <s v="NYK"/>
    <n v="26"/>
    <n v="23"/>
    <n v="23"/>
    <n v="802"/>
    <n v="125"/>
    <n v="256"/>
    <x v="46"/>
    <n v="41"/>
    <n v="104"/>
    <n v="0.39400000000000002"/>
    <n v="34"/>
    <n v="43"/>
    <n v="0.79100000000000004"/>
    <n v="23"/>
    <n v="79"/>
    <n v="102"/>
    <n v="35"/>
    <n v="40"/>
    <n v="23"/>
    <n v="38"/>
    <n v="57"/>
    <n v="325"/>
    <x v="6"/>
  </r>
  <r>
    <n v="1628384"/>
    <x v="9"/>
    <n v="0"/>
    <n v="0"/>
    <s v="TOT"/>
    <n v="26"/>
    <n v="50"/>
    <n v="50"/>
    <n v="1702"/>
    <n v="282"/>
    <n v="577"/>
    <x v="45"/>
    <n v="102"/>
    <n v="267"/>
    <n v="0.38200000000000001"/>
    <n v="67"/>
    <n v="89"/>
    <n v="0.753"/>
    <n v="47"/>
    <n v="161"/>
    <n v="208"/>
    <n v="107"/>
    <n v="68"/>
    <n v="36"/>
    <n v="81"/>
    <n v="119"/>
    <n v="733"/>
    <x v="6"/>
  </r>
  <r>
    <n v="1628384"/>
    <x v="10"/>
    <n v="0"/>
    <n v="1610612752"/>
    <s v="NYK"/>
    <n v="27"/>
    <n v="74"/>
    <n v="74"/>
    <n v="2706"/>
    <n v="489"/>
    <n v="1027"/>
    <x v="44"/>
    <n v="171"/>
    <n v="460"/>
    <n v="0.372"/>
    <n v="183"/>
    <n v="226"/>
    <n v="0.81"/>
    <n v="97"/>
    <n v="261"/>
    <n v="358"/>
    <n v="164"/>
    <n v="110"/>
    <n v="65"/>
    <n v="102"/>
    <n v="172"/>
    <n v="1332"/>
    <x v="6"/>
  </r>
  <r>
    <n v="1628384"/>
    <x v="11"/>
    <n v="0"/>
    <n v="1610612752"/>
    <s v="NYK"/>
    <n v="28"/>
    <n v="67"/>
    <n v="67"/>
    <n v="2224"/>
    <n v="389"/>
    <n v="804"/>
    <x v="47"/>
    <n v="157"/>
    <n v="407"/>
    <n v="0.38600000000000001"/>
    <n v="183"/>
    <n v="221"/>
    <n v="0.82799999999999996"/>
    <n v="85"/>
    <n v="266"/>
    <n v="351"/>
    <n v="145"/>
    <n v="104"/>
    <n v="48"/>
    <n v="123"/>
    <n v="164"/>
    <n v="1118"/>
    <x v="6"/>
  </r>
  <r>
    <n v="1641755"/>
    <x v="10"/>
    <n v="0"/>
    <n v="1610612752"/>
    <s v="NYK"/>
    <n v="24"/>
    <n v="4"/>
    <n v="0"/>
    <n v="29"/>
    <n v="2"/>
    <n v="7"/>
    <x v="48"/>
    <n v="0"/>
    <n v="1"/>
    <n v="0"/>
    <n v="2"/>
    <n v="2"/>
    <n v="1"/>
    <n v="0"/>
    <n v="8"/>
    <n v="8"/>
    <n v="2"/>
    <n v="1"/>
    <n v="1"/>
    <n v="0"/>
    <n v="6"/>
    <n v="6"/>
    <x v="7"/>
  </r>
  <r>
    <n v="1641755"/>
    <x v="11"/>
    <n v="0"/>
    <n v="1610612752"/>
    <s v="NYK"/>
    <n v="25"/>
    <n v="21"/>
    <n v="0"/>
    <n v="155"/>
    <n v="20"/>
    <n v="47"/>
    <x v="49"/>
    <n v="8"/>
    <n v="24"/>
    <n v="0.33300000000000002"/>
    <n v="2"/>
    <n v="5"/>
    <n v="0.4"/>
    <n v="11"/>
    <n v="17"/>
    <n v="28"/>
    <n v="20"/>
    <n v="9"/>
    <n v="0"/>
    <n v="12"/>
    <n v="22"/>
    <n v="50"/>
    <x v="7"/>
  </r>
  <r>
    <n v="1628973"/>
    <x v="4"/>
    <n v="0"/>
    <n v="1610612742"/>
    <s v="DAL"/>
    <n v="22"/>
    <n v="73"/>
    <n v="38"/>
    <n v="1591"/>
    <n v="264"/>
    <n v="565"/>
    <x v="50"/>
    <n v="63"/>
    <n v="181"/>
    <n v="0.34799999999999998"/>
    <n v="87"/>
    <n v="120"/>
    <n v="0.72499999999999998"/>
    <n v="25"/>
    <n v="144"/>
    <n v="169"/>
    <n v="230"/>
    <n v="37"/>
    <n v="4"/>
    <n v="88"/>
    <n v="127"/>
    <n v="678"/>
    <x v="8"/>
  </r>
  <r>
    <n v="1628973"/>
    <x v="5"/>
    <n v="0"/>
    <n v="1610612742"/>
    <s v="DAL"/>
    <n v="23"/>
    <n v="57"/>
    <n v="16"/>
    <n v="1022"/>
    <n v="181"/>
    <n v="388"/>
    <x v="51"/>
    <n v="43"/>
    <n v="120"/>
    <n v="0.35799999999999998"/>
    <n v="61"/>
    <n v="75"/>
    <n v="0.81299999999999994"/>
    <n v="22"/>
    <n v="112"/>
    <n v="134"/>
    <n v="188"/>
    <n v="22"/>
    <n v="4"/>
    <n v="66"/>
    <n v="74"/>
    <n v="466"/>
    <x v="8"/>
  </r>
  <r>
    <n v="1628973"/>
    <x v="6"/>
    <n v="0"/>
    <n v="1610612742"/>
    <s v="DAL"/>
    <n v="24"/>
    <n v="68"/>
    <n v="12"/>
    <n v="1697"/>
    <n v="328"/>
    <n v="627"/>
    <x v="52"/>
    <n v="81"/>
    <n v="200"/>
    <n v="0.40500000000000003"/>
    <n v="120"/>
    <n v="151"/>
    <n v="0.79500000000000004"/>
    <n v="27"/>
    <n v="204"/>
    <n v="231"/>
    <n v="239"/>
    <n v="35"/>
    <n v="1"/>
    <n v="80"/>
    <n v="109"/>
    <n v="857"/>
    <x v="8"/>
  </r>
  <r>
    <n v="1628973"/>
    <x v="7"/>
    <n v="0"/>
    <n v="1610612742"/>
    <s v="DAL"/>
    <n v="25"/>
    <n v="79"/>
    <n v="61"/>
    <n v="2524"/>
    <n v="506"/>
    <n v="1008"/>
    <x v="53"/>
    <n v="94"/>
    <n v="252"/>
    <n v="0.373"/>
    <n v="179"/>
    <n v="213"/>
    <n v="0.84"/>
    <n v="43"/>
    <n v="266"/>
    <n v="309"/>
    <n v="377"/>
    <n v="66"/>
    <n v="3"/>
    <n v="124"/>
    <n v="151"/>
    <n v="1285"/>
    <x v="8"/>
  </r>
  <r>
    <n v="1628973"/>
    <x v="8"/>
    <n v="0"/>
    <n v="1610612752"/>
    <s v="NYK"/>
    <n v="26"/>
    <n v="68"/>
    <n v="68"/>
    <n v="2379"/>
    <n v="587"/>
    <n v="1195"/>
    <x v="54"/>
    <n v="134"/>
    <n v="322"/>
    <n v="0.41599999999999998"/>
    <n v="325"/>
    <n v="392"/>
    <n v="0.82899999999999996"/>
    <n v="40"/>
    <n v="201"/>
    <n v="241"/>
    <n v="421"/>
    <n v="61"/>
    <n v="15"/>
    <n v="142"/>
    <n v="152"/>
    <n v="1633"/>
    <x v="8"/>
  </r>
  <r>
    <n v="1628973"/>
    <x v="9"/>
    <n v="0"/>
    <n v="1610612752"/>
    <s v="NYK"/>
    <n v="27"/>
    <n v="77"/>
    <n v="77"/>
    <n v="2726"/>
    <n v="790"/>
    <n v="1648"/>
    <x v="55"/>
    <n v="211"/>
    <n v="526"/>
    <n v="0.40100000000000002"/>
    <n v="421"/>
    <n v="497"/>
    <n v="0.84699999999999998"/>
    <n v="43"/>
    <n v="235"/>
    <n v="278"/>
    <n v="519"/>
    <n v="70"/>
    <n v="13"/>
    <n v="186"/>
    <n v="144"/>
    <n v="2212"/>
    <x v="8"/>
  </r>
  <r>
    <n v="1628973"/>
    <x v="10"/>
    <n v="0"/>
    <n v="1610612752"/>
    <s v="NYK"/>
    <n v="28"/>
    <n v="65"/>
    <n v="65"/>
    <n v="2301"/>
    <n v="585"/>
    <n v="1200"/>
    <x v="56"/>
    <n v="152"/>
    <n v="397"/>
    <n v="0.38300000000000001"/>
    <n v="368"/>
    <n v="448"/>
    <n v="0.82099999999999995"/>
    <n v="27"/>
    <n v="160"/>
    <n v="187"/>
    <n v="475"/>
    <n v="60"/>
    <n v="8"/>
    <n v="164"/>
    <n v="138"/>
    <n v="1690"/>
    <x v="8"/>
  </r>
  <r>
    <n v="1628973"/>
    <x v="11"/>
    <n v="0"/>
    <n v="1610612752"/>
    <s v="NYK"/>
    <n v="29"/>
    <n v="74"/>
    <n v="74"/>
    <n v="2590"/>
    <n v="689"/>
    <n v="1475"/>
    <x v="50"/>
    <n v="195"/>
    <n v="528"/>
    <n v="0.36899999999999999"/>
    <n v="354"/>
    <n v="421"/>
    <n v="0.84099999999999997"/>
    <n v="31"/>
    <n v="216"/>
    <n v="247"/>
    <n v="503"/>
    <n v="57"/>
    <n v="8"/>
    <n v="175"/>
    <n v="170"/>
    <n v="1927"/>
    <x v="8"/>
  </r>
  <r>
    <n v="1642278"/>
    <x v="10"/>
    <n v="0"/>
    <n v="1610612752"/>
    <s v="NYK"/>
    <n v="24"/>
    <n v="41"/>
    <n v="0"/>
    <n v="296"/>
    <n v="27"/>
    <n v="82"/>
    <x v="57"/>
    <n v="14"/>
    <n v="47"/>
    <n v="0.29799999999999999"/>
    <n v="13"/>
    <n v="17"/>
    <n v="0.76500000000000001"/>
    <n v="8"/>
    <n v="19"/>
    <n v="27"/>
    <n v="70"/>
    <n v="12"/>
    <n v="4"/>
    <n v="18"/>
    <n v="26"/>
    <n v="81"/>
    <x v="9"/>
  </r>
  <r>
    <n v="1642278"/>
    <x v="11"/>
    <n v="0"/>
    <n v="1610612752"/>
    <s v="NYK"/>
    <n v="25"/>
    <n v="62"/>
    <n v="1"/>
    <n v="727"/>
    <n v="108"/>
    <n v="248"/>
    <x v="58"/>
    <n v="44"/>
    <n v="114"/>
    <n v="0.38600000000000001"/>
    <n v="14"/>
    <n v="20"/>
    <n v="0.7"/>
    <n v="16"/>
    <n v="82"/>
    <n v="98"/>
    <n v="170"/>
    <n v="22"/>
    <n v="4"/>
    <n v="55"/>
    <n v="65"/>
    <n v="274"/>
    <x v="9"/>
  </r>
  <r>
    <n v="1631110"/>
    <x v="8"/>
    <n v="0"/>
    <n v="1610612759"/>
    <s v="SAS"/>
    <n v="20"/>
    <n v="56"/>
    <n v="53"/>
    <n v="1458"/>
    <n v="250"/>
    <n v="552"/>
    <x v="41"/>
    <n v="33"/>
    <n v="134"/>
    <n v="0.246"/>
    <n v="81"/>
    <n v="116"/>
    <n v="0.69799999999999995"/>
    <n v="95"/>
    <n v="200"/>
    <n v="295"/>
    <n v="142"/>
    <n v="43"/>
    <n v="23"/>
    <n v="97"/>
    <n v="138"/>
    <n v="614"/>
    <x v="10"/>
  </r>
  <r>
    <n v="1631110"/>
    <x v="9"/>
    <n v="0"/>
    <n v="1610612759"/>
    <s v="SAS"/>
    <n v="21"/>
    <n v="74"/>
    <n v="73"/>
    <n v="2193"/>
    <n v="340"/>
    <n v="776"/>
    <x v="59"/>
    <n v="70"/>
    <n v="227"/>
    <n v="0.308"/>
    <n v="111"/>
    <n v="144"/>
    <n v="0.77100000000000002"/>
    <n v="137"/>
    <n v="339"/>
    <n v="476"/>
    <n v="249"/>
    <n v="62"/>
    <n v="40"/>
    <n v="140"/>
    <n v="168"/>
    <n v="861"/>
    <x v="10"/>
  </r>
  <r>
    <n v="1631110"/>
    <x v="10"/>
    <n v="0"/>
    <n v="1610612759"/>
    <s v="SAS"/>
    <n v="22"/>
    <n v="54"/>
    <n v="23"/>
    <n v="1364"/>
    <n v="251"/>
    <n v="469"/>
    <x v="60"/>
    <n v="28"/>
    <n v="91"/>
    <n v="0.308"/>
    <n v="87"/>
    <n v="125"/>
    <n v="0.69599999999999995"/>
    <n v="127"/>
    <n v="225"/>
    <n v="352"/>
    <n v="128"/>
    <n v="45"/>
    <n v="27"/>
    <n v="84"/>
    <n v="131"/>
    <n v="617"/>
    <x v="10"/>
  </r>
  <r>
    <n v="1631110"/>
    <x v="11"/>
    <n v="0"/>
    <n v="1610612759"/>
    <s v="SAS"/>
    <n v="23"/>
    <n v="28"/>
    <n v="0"/>
    <n v="358"/>
    <n v="47"/>
    <n v="99"/>
    <x v="61"/>
    <n v="9"/>
    <n v="35"/>
    <n v="0.25700000000000001"/>
    <n v="11"/>
    <n v="16"/>
    <n v="0.68799999999999994"/>
    <n v="26"/>
    <n v="47"/>
    <n v="73"/>
    <n v="28"/>
    <n v="10"/>
    <n v="5"/>
    <n v="18"/>
    <n v="50"/>
    <n v="114"/>
    <x v="10"/>
  </r>
  <r>
    <n v="1631110"/>
    <x v="11"/>
    <n v="0"/>
    <n v="1610612752"/>
    <s v="NYK"/>
    <n v="23"/>
    <n v="16"/>
    <n v="0"/>
    <n v="111"/>
    <n v="17"/>
    <n v="30"/>
    <x v="62"/>
    <n v="2"/>
    <n v="10"/>
    <n v="0.2"/>
    <n v="8"/>
    <n v="10"/>
    <n v="0.8"/>
    <n v="11"/>
    <n v="23"/>
    <n v="34"/>
    <n v="12"/>
    <n v="7"/>
    <n v="2"/>
    <n v="3"/>
    <n v="12"/>
    <n v="44"/>
    <x v="10"/>
  </r>
  <r>
    <n v="1631110"/>
    <x v="11"/>
    <n v="0"/>
    <n v="0"/>
    <s v="TOT"/>
    <n v="23"/>
    <n v="44"/>
    <n v="0"/>
    <n v="469"/>
    <n v="64"/>
    <n v="129"/>
    <x v="63"/>
    <n v="11"/>
    <n v="45"/>
    <n v="0.24399999999999999"/>
    <n v="19"/>
    <n v="26"/>
    <n v="0.73099999999999998"/>
    <n v="37"/>
    <n v="70"/>
    <n v="107"/>
    <n v="40"/>
    <n v="17"/>
    <n v="7"/>
    <n v="21"/>
    <n v="62"/>
    <n v="158"/>
    <x v="10"/>
  </r>
  <r>
    <n v="1629011"/>
    <x v="4"/>
    <n v="0"/>
    <n v="1610612752"/>
    <s v="NYK"/>
    <n v="21"/>
    <n v="66"/>
    <n v="19"/>
    <n v="1360"/>
    <n v="202"/>
    <n v="291"/>
    <x v="64"/>
    <n v="0"/>
    <n v="0"/>
    <n v="0"/>
    <n v="81"/>
    <n v="135"/>
    <n v="0.6"/>
    <n v="177"/>
    <n v="246"/>
    <n v="423"/>
    <n v="37"/>
    <n v="52"/>
    <n v="161"/>
    <n v="35"/>
    <n v="217"/>
    <n v="485"/>
    <x v="11"/>
  </r>
  <r>
    <n v="1629011"/>
    <x v="5"/>
    <n v="0"/>
    <n v="1610612752"/>
    <s v="NYK"/>
    <n v="22"/>
    <n v="61"/>
    <n v="7"/>
    <n v="1412"/>
    <n v="253"/>
    <n v="341"/>
    <x v="65"/>
    <n v="0"/>
    <n v="0"/>
    <n v="0"/>
    <n v="84"/>
    <n v="148"/>
    <n v="0.56799999999999995"/>
    <n v="186"/>
    <n v="242"/>
    <n v="428"/>
    <n v="36"/>
    <n v="52"/>
    <n v="119"/>
    <n v="37"/>
    <n v="194"/>
    <n v="590"/>
    <x v="11"/>
  </r>
  <r>
    <n v="1629011"/>
    <x v="6"/>
    <n v="0"/>
    <n v="1610612752"/>
    <s v="NYK"/>
    <n v="23"/>
    <n v="31"/>
    <n v="29"/>
    <n v="853"/>
    <n v="115"/>
    <n v="176"/>
    <x v="66"/>
    <n v="0"/>
    <n v="0"/>
    <n v="0"/>
    <n v="26"/>
    <n v="53"/>
    <n v="0.49099999999999999"/>
    <n v="113"/>
    <n v="139"/>
    <n v="252"/>
    <n v="17"/>
    <n v="35"/>
    <n v="45"/>
    <n v="26"/>
    <n v="86"/>
    <n v="256"/>
    <x v="11"/>
  </r>
  <r>
    <n v="1629011"/>
    <x v="7"/>
    <n v="0"/>
    <n v="1610612752"/>
    <s v="NYK"/>
    <n v="24"/>
    <n v="72"/>
    <n v="62"/>
    <n v="1848"/>
    <n v="261"/>
    <n v="343"/>
    <x v="67"/>
    <n v="0"/>
    <n v="0"/>
    <n v="0"/>
    <n v="88"/>
    <n v="181"/>
    <n v="0.48599999999999999"/>
    <n v="295"/>
    <n v="322"/>
    <n v="617"/>
    <n v="38"/>
    <n v="58"/>
    <n v="133"/>
    <n v="60"/>
    <n v="195"/>
    <n v="610"/>
    <x v="11"/>
  </r>
  <r>
    <n v="1629011"/>
    <x v="8"/>
    <n v="0"/>
    <n v="1610612752"/>
    <s v="NYK"/>
    <n v="25"/>
    <n v="59"/>
    <n v="58"/>
    <n v="1589"/>
    <n v="188"/>
    <n v="280"/>
    <x v="68"/>
    <n v="0"/>
    <n v="0"/>
    <n v="0"/>
    <n v="59"/>
    <n v="122"/>
    <n v="0.48399999999999999"/>
    <n v="267"/>
    <n v="288"/>
    <n v="555"/>
    <n v="53"/>
    <n v="56"/>
    <n v="109"/>
    <n v="41"/>
    <n v="160"/>
    <n v="435"/>
    <x v="11"/>
  </r>
  <r>
    <n v="1629011"/>
    <x v="9"/>
    <n v="0"/>
    <n v="1610612752"/>
    <s v="NYK"/>
    <n v="26"/>
    <n v="31"/>
    <n v="21"/>
    <n v="768"/>
    <n v="73"/>
    <n v="127"/>
    <x v="69"/>
    <n v="0"/>
    <n v="0"/>
    <n v="0"/>
    <n v="27"/>
    <n v="66"/>
    <n v="0.40899999999999997"/>
    <n v="142"/>
    <n v="121"/>
    <n v="263"/>
    <n v="18"/>
    <n v="37"/>
    <n v="35"/>
    <n v="25"/>
    <n v="55"/>
    <n v="173"/>
    <x v="11"/>
  </r>
  <r>
    <n v="1629011"/>
    <x v="10"/>
    <n v="0"/>
    <n v="1610612752"/>
    <s v="NYK"/>
    <n v="27"/>
    <n v="17"/>
    <n v="3"/>
    <n v="290"/>
    <n v="37"/>
    <n v="56"/>
    <x v="70"/>
    <n v="0"/>
    <n v="0"/>
    <n v="0"/>
    <n v="13"/>
    <n v="19"/>
    <n v="0.68400000000000005"/>
    <n v="52"/>
    <n v="49"/>
    <n v="101"/>
    <n v="13"/>
    <n v="16"/>
    <n v="18"/>
    <n v="10"/>
    <n v="26"/>
    <n v="87"/>
    <x v="11"/>
  </r>
  <r>
    <n v="1629011"/>
    <x v="11"/>
    <n v="0"/>
    <n v="1610612752"/>
    <s v="NYK"/>
    <n v="28"/>
    <n v="60"/>
    <n v="16"/>
    <n v="1175"/>
    <n v="149"/>
    <n v="206"/>
    <x v="71"/>
    <n v="0"/>
    <n v="0"/>
    <n v="0"/>
    <n v="42"/>
    <n v="103"/>
    <n v="0.40799999999999997"/>
    <n v="252"/>
    <n v="273"/>
    <n v="525"/>
    <n v="52"/>
    <n v="56"/>
    <n v="70"/>
    <n v="41"/>
    <n v="127"/>
    <n v="340"/>
    <x v="11"/>
  </r>
  <r>
    <n v="1628969"/>
    <x v="4"/>
    <n v="0"/>
    <n v="1610612756"/>
    <s v="PHX"/>
    <n v="22"/>
    <n v="82"/>
    <n v="56"/>
    <n v="2417"/>
    <n v="242"/>
    <n v="563"/>
    <x v="72"/>
    <n v="105"/>
    <n v="313"/>
    <n v="0.33500000000000002"/>
    <n v="95"/>
    <n v="118"/>
    <n v="0.80500000000000005"/>
    <n v="56"/>
    <n v="208"/>
    <n v="264"/>
    <n v="173"/>
    <n v="129"/>
    <n v="38"/>
    <n v="70"/>
    <n v="201"/>
    <n v="684"/>
    <x v="12"/>
  </r>
  <r>
    <n v="1628969"/>
    <x v="5"/>
    <n v="0"/>
    <n v="1610612756"/>
    <s v="PHX"/>
    <n v="23"/>
    <n v="73"/>
    <n v="32"/>
    <n v="2042"/>
    <n v="247"/>
    <n v="484"/>
    <x v="73"/>
    <n v="70"/>
    <n v="194"/>
    <n v="0.36099999999999999"/>
    <n v="103"/>
    <n v="122"/>
    <n v="0.84399999999999997"/>
    <n v="66"/>
    <n v="226"/>
    <n v="292"/>
    <n v="129"/>
    <n v="102"/>
    <n v="46"/>
    <n v="73"/>
    <n v="163"/>
    <n v="667"/>
    <x v="12"/>
  </r>
  <r>
    <n v="1628969"/>
    <x v="6"/>
    <n v="0"/>
    <n v="1610612756"/>
    <s v="PHX"/>
    <n v="24"/>
    <n v="72"/>
    <n v="72"/>
    <n v="2348"/>
    <n v="363"/>
    <n v="669"/>
    <x v="74"/>
    <n v="134"/>
    <n v="315"/>
    <n v="0.42499999999999999"/>
    <n v="110"/>
    <n v="131"/>
    <n v="0.84"/>
    <n v="76"/>
    <n v="233"/>
    <n v="309"/>
    <n v="152"/>
    <n v="76"/>
    <n v="63"/>
    <n v="57"/>
    <n v="116"/>
    <n v="970"/>
    <x v="12"/>
  </r>
  <r>
    <n v="1628969"/>
    <x v="7"/>
    <n v="0"/>
    <n v="1610612756"/>
    <s v="PHX"/>
    <n v="25"/>
    <n v="82"/>
    <n v="82"/>
    <n v="2854"/>
    <n v="458"/>
    <n v="858"/>
    <x v="75"/>
    <n v="115"/>
    <n v="312"/>
    <n v="0.36899999999999999"/>
    <n v="131"/>
    <n v="157"/>
    <n v="0.83399999999999996"/>
    <n v="74"/>
    <n v="273"/>
    <n v="347"/>
    <n v="185"/>
    <n v="96"/>
    <n v="36"/>
    <n v="68"/>
    <n v="150"/>
    <n v="1162"/>
    <x v="12"/>
  </r>
  <r>
    <n v="1628969"/>
    <x v="8"/>
    <n v="0"/>
    <n v="1610612756"/>
    <s v="PHX"/>
    <n v="26"/>
    <n v="56"/>
    <n v="56"/>
    <n v="2040"/>
    <n v="354"/>
    <n v="764"/>
    <x v="76"/>
    <n v="101"/>
    <n v="261"/>
    <n v="0.38700000000000001"/>
    <n v="156"/>
    <n v="174"/>
    <n v="0.89700000000000002"/>
    <n v="56"/>
    <n v="187"/>
    <n v="243"/>
    <n v="201"/>
    <n v="65"/>
    <n v="45"/>
    <n v="78"/>
    <n v="115"/>
    <n v="965"/>
    <x v="12"/>
  </r>
  <r>
    <n v="1628969"/>
    <x v="8"/>
    <n v="0"/>
    <n v="1610612751"/>
    <s v="BKN"/>
    <n v="26"/>
    <n v="27"/>
    <n v="27"/>
    <n v="923"/>
    <n v="239"/>
    <n v="503"/>
    <x v="61"/>
    <n v="68"/>
    <n v="181"/>
    <n v="0.376"/>
    <n v="160"/>
    <n v="179"/>
    <n v="0.89400000000000002"/>
    <n v="23"/>
    <n v="98"/>
    <n v="121"/>
    <n v="72"/>
    <n v="26"/>
    <n v="16"/>
    <n v="49"/>
    <n v="44"/>
    <n v="706"/>
    <x v="12"/>
  </r>
  <r>
    <n v="1628969"/>
    <x v="8"/>
    <n v="0"/>
    <n v="0"/>
    <s v="TOT"/>
    <n v="26"/>
    <n v="83"/>
    <n v="83"/>
    <n v="2963"/>
    <n v="593"/>
    <n v="1267"/>
    <x v="77"/>
    <n v="169"/>
    <n v="442"/>
    <n v="0.38200000000000001"/>
    <n v="316"/>
    <n v="353"/>
    <n v="0.89500000000000002"/>
    <n v="79"/>
    <n v="285"/>
    <n v="364"/>
    <n v="273"/>
    <n v="91"/>
    <n v="61"/>
    <n v="127"/>
    <n v="159"/>
    <n v="1671"/>
    <x v="12"/>
  </r>
  <r>
    <n v="1628969"/>
    <x v="9"/>
    <n v="0"/>
    <n v="1610612751"/>
    <s v="BKN"/>
    <n v="27"/>
    <n v="82"/>
    <n v="82"/>
    <n v="2854"/>
    <n v="564"/>
    <n v="1294"/>
    <x v="78"/>
    <n v="220"/>
    <n v="592"/>
    <n v="0.372"/>
    <n v="258"/>
    <n v="317"/>
    <n v="0.81399999999999995"/>
    <n v="68"/>
    <n v="304"/>
    <n v="372"/>
    <n v="299"/>
    <n v="81"/>
    <n v="30"/>
    <n v="164"/>
    <n v="116"/>
    <n v="1606"/>
    <x v="12"/>
  </r>
  <r>
    <n v="1628969"/>
    <x v="10"/>
    <n v="0"/>
    <n v="1610612752"/>
    <s v="NYK"/>
    <n v="28"/>
    <n v="82"/>
    <n v="82"/>
    <n v="3036"/>
    <n v="592"/>
    <n v="1183"/>
    <x v="79"/>
    <n v="164"/>
    <n v="463"/>
    <n v="0.35399999999999998"/>
    <n v="96"/>
    <n v="118"/>
    <n v="0.81399999999999995"/>
    <n v="71"/>
    <n v="188"/>
    <n v="259"/>
    <n v="306"/>
    <n v="75"/>
    <n v="43"/>
    <n v="132"/>
    <n v="127"/>
    <n v="1444"/>
    <x v="12"/>
  </r>
  <r>
    <n v="1628969"/>
    <x v="11"/>
    <n v="0"/>
    <n v="1610612752"/>
    <s v="NYK"/>
    <n v="29"/>
    <n v="82"/>
    <n v="82"/>
    <n v="2692"/>
    <n v="472"/>
    <n v="963"/>
    <x v="80"/>
    <n v="156"/>
    <n v="420"/>
    <n v="0.371"/>
    <n v="81"/>
    <n v="98"/>
    <n v="0.82699999999999996"/>
    <n v="79"/>
    <n v="233"/>
    <n v="312"/>
    <n v="304"/>
    <n v="107"/>
    <n v="62"/>
    <n v="83"/>
    <n v="160"/>
    <n v="1181"/>
    <x v="12"/>
  </r>
  <r>
    <n v="1626157"/>
    <x v="1"/>
    <n v="0"/>
    <n v="1610612750"/>
    <s v="MIN"/>
    <n v="20"/>
    <n v="82"/>
    <n v="82"/>
    <n v="2627"/>
    <n v="625"/>
    <n v="1153"/>
    <x v="81"/>
    <n v="30"/>
    <n v="88"/>
    <n v="0.34100000000000003"/>
    <n v="223"/>
    <n v="275"/>
    <n v="0.81100000000000005"/>
    <n v="229"/>
    <n v="629"/>
    <n v="858"/>
    <n v="161"/>
    <n v="58"/>
    <n v="138"/>
    <n v="183"/>
    <n v="245"/>
    <n v="1503"/>
    <x v="13"/>
  </r>
  <r>
    <n v="1626157"/>
    <x v="2"/>
    <n v="0"/>
    <n v="1610612750"/>
    <s v="MIN"/>
    <n v="21"/>
    <n v="82"/>
    <n v="82"/>
    <n v="3030"/>
    <n v="802"/>
    <n v="1480"/>
    <x v="81"/>
    <n v="101"/>
    <n v="275"/>
    <n v="0.36699999999999999"/>
    <n v="356"/>
    <n v="428"/>
    <n v="0.83199999999999996"/>
    <n v="296"/>
    <n v="711"/>
    <n v="1007"/>
    <n v="220"/>
    <n v="56"/>
    <n v="103"/>
    <n v="212"/>
    <n v="241"/>
    <n v="2061"/>
    <x v="13"/>
  </r>
  <r>
    <n v="1626157"/>
    <x v="3"/>
    <n v="0"/>
    <n v="1610612750"/>
    <s v="MIN"/>
    <n v="22"/>
    <n v="82"/>
    <n v="82"/>
    <n v="2918"/>
    <n v="639"/>
    <n v="1172"/>
    <x v="82"/>
    <n v="120"/>
    <n v="285"/>
    <n v="0.42099999999999999"/>
    <n v="345"/>
    <n v="402"/>
    <n v="0.85799999999999998"/>
    <n v="238"/>
    <n v="774"/>
    <n v="1012"/>
    <n v="199"/>
    <n v="64"/>
    <n v="115"/>
    <n v="159"/>
    <n v="285"/>
    <n v="1743"/>
    <x v="13"/>
  </r>
  <r>
    <n v="1626157"/>
    <x v="4"/>
    <n v="0"/>
    <n v="1610612750"/>
    <s v="MIN"/>
    <n v="23"/>
    <n v="77"/>
    <n v="77"/>
    <n v="2545"/>
    <n v="681"/>
    <n v="1314"/>
    <x v="83"/>
    <n v="142"/>
    <n v="355"/>
    <n v="0.4"/>
    <n v="376"/>
    <n v="450"/>
    <n v="0.83599999999999997"/>
    <n v="263"/>
    <n v="691"/>
    <n v="954"/>
    <n v="259"/>
    <n v="67"/>
    <n v="125"/>
    <n v="240"/>
    <n v="292"/>
    <n v="1880"/>
    <x v="13"/>
  </r>
  <r>
    <n v="1626157"/>
    <x v="5"/>
    <n v="0"/>
    <n v="1610612750"/>
    <s v="MIN"/>
    <n v="24"/>
    <n v="35"/>
    <n v="35"/>
    <n v="1187"/>
    <n v="316"/>
    <n v="622"/>
    <x v="30"/>
    <n v="114"/>
    <n v="277"/>
    <n v="0.41199999999999998"/>
    <n v="180"/>
    <n v="226"/>
    <n v="0.79600000000000004"/>
    <n v="95"/>
    <n v="283"/>
    <n v="378"/>
    <n v="153"/>
    <n v="33"/>
    <n v="42"/>
    <n v="110"/>
    <n v="117"/>
    <n v="926"/>
    <x v="13"/>
  </r>
  <r>
    <n v="1626157"/>
    <x v="6"/>
    <n v="0"/>
    <n v="1610612750"/>
    <s v="MIN"/>
    <n v="25"/>
    <n v="50"/>
    <n v="50"/>
    <n v="1689"/>
    <n v="425"/>
    <n v="875"/>
    <x v="84"/>
    <n v="122"/>
    <n v="315"/>
    <n v="0.38700000000000001"/>
    <n v="267"/>
    <n v="311"/>
    <n v="0.85899999999999999"/>
    <n v="133"/>
    <n v="396"/>
    <n v="529"/>
    <n v="225"/>
    <n v="39"/>
    <n v="57"/>
    <n v="160"/>
    <n v="186"/>
    <n v="1239"/>
    <x v="13"/>
  </r>
  <r>
    <n v="1626157"/>
    <x v="7"/>
    <n v="0"/>
    <n v="1610612750"/>
    <s v="MIN"/>
    <n v="26"/>
    <n v="74"/>
    <n v="74"/>
    <n v="2475"/>
    <n v="642"/>
    <n v="1214"/>
    <x v="27"/>
    <n v="150"/>
    <n v="366"/>
    <n v="0.41"/>
    <n v="384"/>
    <n v="467"/>
    <n v="0.82199999999999995"/>
    <n v="194"/>
    <n v="533"/>
    <n v="727"/>
    <n v="269"/>
    <n v="72"/>
    <n v="83"/>
    <n v="226"/>
    <n v="267"/>
    <n v="1818"/>
    <x v="13"/>
  </r>
  <r>
    <n v="1626157"/>
    <x v="8"/>
    <n v="0"/>
    <n v="1610612750"/>
    <s v="MIN"/>
    <n v="27"/>
    <n v="29"/>
    <n v="29"/>
    <n v="957"/>
    <n v="212"/>
    <n v="428"/>
    <x v="85"/>
    <n v="60"/>
    <n v="164"/>
    <n v="0.36599999999999999"/>
    <n v="118"/>
    <n v="135"/>
    <n v="0.874"/>
    <n v="48"/>
    <n v="188"/>
    <n v="236"/>
    <n v="140"/>
    <n v="20"/>
    <n v="17"/>
    <n v="86"/>
    <n v="111"/>
    <n v="602"/>
    <x v="13"/>
  </r>
  <r>
    <n v="1626157"/>
    <x v="9"/>
    <n v="0"/>
    <n v="1610612750"/>
    <s v="MIN"/>
    <n v="28"/>
    <n v="62"/>
    <n v="62"/>
    <n v="2026"/>
    <n v="479"/>
    <n v="951"/>
    <x v="25"/>
    <n v="136"/>
    <n v="327"/>
    <n v="0.41599999999999998"/>
    <n v="255"/>
    <n v="292"/>
    <n v="0.873"/>
    <n v="94"/>
    <n v="421"/>
    <n v="515"/>
    <n v="189"/>
    <n v="43"/>
    <n v="41"/>
    <n v="177"/>
    <n v="204"/>
    <n v="1349"/>
    <x v="13"/>
  </r>
  <r>
    <n v="1626157"/>
    <x v="10"/>
    <n v="0"/>
    <n v="1610612752"/>
    <s v="NYK"/>
    <n v="29"/>
    <n v="72"/>
    <n v="72"/>
    <n v="2517"/>
    <n v="639"/>
    <n v="1215"/>
    <x v="86"/>
    <n v="142"/>
    <n v="338"/>
    <n v="0.42"/>
    <n v="339"/>
    <n v="409"/>
    <n v="0.82899999999999996"/>
    <n v="212"/>
    <n v="708"/>
    <n v="920"/>
    <n v="222"/>
    <n v="71"/>
    <n v="50"/>
    <n v="192"/>
    <n v="249"/>
    <n v="1759"/>
    <x v="13"/>
  </r>
  <r>
    <n v="1626157"/>
    <x v="11"/>
    <n v="0"/>
    <n v="1610612752"/>
    <s v="NYK"/>
    <n v="30"/>
    <n v="75"/>
    <n v="75"/>
    <n v="2322"/>
    <n v="517"/>
    <n v="1032"/>
    <x v="87"/>
    <n v="113"/>
    <n v="307"/>
    <n v="0.36799999999999999"/>
    <n v="357"/>
    <n v="416"/>
    <n v="0.85799999999999998"/>
    <n v="233"/>
    <n v="656"/>
    <n v="889"/>
    <n v="226"/>
    <n v="65"/>
    <n v="40"/>
    <n v="187"/>
    <n v="255"/>
    <n v="1504"/>
    <x v="13"/>
  </r>
  <r>
    <n v="1629013"/>
    <x v="4"/>
    <n v="0"/>
    <n v="1610612755"/>
    <s v="PHI"/>
    <n v="22"/>
    <n v="54"/>
    <n v="4"/>
    <n v="1108"/>
    <n v="153"/>
    <n v="347"/>
    <x v="88"/>
    <n v="99"/>
    <n v="245"/>
    <n v="0.40400000000000003"/>
    <n v="44"/>
    <n v="54"/>
    <n v="0.81499999999999995"/>
    <n v="14"/>
    <n v="64"/>
    <n v="78"/>
    <n v="59"/>
    <n v="24"/>
    <n v="8"/>
    <n v="26"/>
    <n v="106"/>
    <n v="449"/>
    <x v="14"/>
  </r>
  <r>
    <n v="1629013"/>
    <x v="4"/>
    <n v="0"/>
    <n v="1610612746"/>
    <s v="LAC"/>
    <n v="22"/>
    <n v="25"/>
    <n v="23"/>
    <n v="694"/>
    <n v="87"/>
    <n v="210"/>
    <x v="38"/>
    <n v="68"/>
    <n v="151"/>
    <n v="0.45"/>
    <n v="31"/>
    <n v="39"/>
    <n v="0.79500000000000004"/>
    <n v="7"/>
    <n v="49"/>
    <n v="56"/>
    <n v="58"/>
    <n v="13"/>
    <n v="2"/>
    <n v="19"/>
    <n v="49"/>
    <n v="273"/>
    <x v="14"/>
  </r>
  <r>
    <n v="1629013"/>
    <x v="4"/>
    <n v="0"/>
    <n v="0"/>
    <s v="TOT"/>
    <n v="22"/>
    <n v="79"/>
    <n v="27"/>
    <n v="1802"/>
    <n v="240"/>
    <n v="557"/>
    <x v="89"/>
    <n v="167"/>
    <n v="396"/>
    <n v="0.42199999999999999"/>
    <n v="75"/>
    <n v="93"/>
    <n v="0.80600000000000005"/>
    <n v="21"/>
    <n v="113"/>
    <n v="134"/>
    <n v="117"/>
    <n v="37"/>
    <n v="10"/>
    <n v="45"/>
    <n v="155"/>
    <n v="722"/>
    <x v="14"/>
  </r>
  <r>
    <n v="1629013"/>
    <x v="5"/>
    <n v="0"/>
    <n v="1610612746"/>
    <s v="LAC"/>
    <n v="23"/>
    <n v="53"/>
    <n v="30"/>
    <n v="1452"/>
    <n v="158"/>
    <n v="391"/>
    <x v="90"/>
    <n v="111"/>
    <n v="296"/>
    <n v="0.375"/>
    <n v="65"/>
    <n v="76"/>
    <n v="0.85499999999999998"/>
    <n v="6"/>
    <n v="94"/>
    <n v="100"/>
    <n v="99"/>
    <n v="20"/>
    <n v="10"/>
    <n v="42"/>
    <n v="142"/>
    <n v="492"/>
    <x v="14"/>
  </r>
  <r>
    <n v="1629013"/>
    <x v="6"/>
    <n v="0"/>
    <n v="1610612751"/>
    <s v="BKN"/>
    <n v="24"/>
    <n v="61"/>
    <n v="12"/>
    <n v="1403"/>
    <n v="186"/>
    <n v="456"/>
    <x v="12"/>
    <n v="129"/>
    <n v="333"/>
    <n v="0.38700000000000001"/>
    <n v="66"/>
    <n v="78"/>
    <n v="0.84599999999999997"/>
    <n v="11"/>
    <n v="101"/>
    <n v="112"/>
    <n v="99"/>
    <n v="31"/>
    <n v="10"/>
    <n v="48"/>
    <n v="93"/>
    <n v="567"/>
    <x v="14"/>
  </r>
  <r>
    <n v="1629013"/>
    <x v="7"/>
    <n v="0"/>
    <n v="1610612756"/>
    <s v="PHX"/>
    <n v="25"/>
    <n v="69"/>
    <n v="14"/>
    <n v="1437"/>
    <n v="191"/>
    <n v="485"/>
    <x v="91"/>
    <n v="123"/>
    <n v="334"/>
    <n v="0.36799999999999999"/>
    <n v="68"/>
    <n v="81"/>
    <n v="0.84"/>
    <n v="16"/>
    <n v="110"/>
    <n v="126"/>
    <n v="108"/>
    <n v="28"/>
    <n v="9"/>
    <n v="41"/>
    <n v="92"/>
    <n v="573"/>
    <x v="14"/>
  </r>
  <r>
    <n v="1629013"/>
    <x v="8"/>
    <n v="0"/>
    <n v="1610612756"/>
    <s v="PHX"/>
    <n v="26"/>
    <n v="40"/>
    <n v="9"/>
    <n v="807"/>
    <n v="113"/>
    <n v="300"/>
    <x v="92"/>
    <n v="75"/>
    <n v="199"/>
    <n v="0.377"/>
    <n v="45"/>
    <n v="51"/>
    <n v="0.88200000000000001"/>
    <n v="11"/>
    <n v="56"/>
    <n v="67"/>
    <n v="93"/>
    <n v="26"/>
    <n v="5"/>
    <n v="36"/>
    <n v="61"/>
    <n v="346"/>
    <x v="14"/>
  </r>
  <r>
    <n v="1629013"/>
    <x v="9"/>
    <n v="0"/>
    <n v="1610612764"/>
    <s v="WAS"/>
    <n v="27"/>
    <n v="46"/>
    <n v="5"/>
    <n v="727"/>
    <n v="118"/>
    <n v="274"/>
    <x v="89"/>
    <n v="53"/>
    <n v="157"/>
    <n v="0.33800000000000002"/>
    <n v="38"/>
    <n v="46"/>
    <n v="0.82599999999999996"/>
    <n v="16"/>
    <n v="46"/>
    <n v="62"/>
    <n v="54"/>
    <n v="25"/>
    <n v="10"/>
    <n v="30"/>
    <n v="76"/>
    <n v="327"/>
    <x v="14"/>
  </r>
  <r>
    <n v="1629013"/>
    <x v="10"/>
    <n v="0"/>
    <n v="1610612752"/>
    <s v="NYK"/>
    <n v="28"/>
    <n v="50"/>
    <n v="0"/>
    <n v="762"/>
    <n v="106"/>
    <n v="230"/>
    <x v="93"/>
    <n v="62"/>
    <n v="156"/>
    <n v="0.39700000000000002"/>
    <n v="12"/>
    <n v="18"/>
    <n v="0.66700000000000004"/>
    <n v="11"/>
    <n v="50"/>
    <n v="61"/>
    <n v="27"/>
    <n v="23"/>
    <n v="2"/>
    <n v="22"/>
    <n v="52"/>
    <n v="286"/>
    <x v="14"/>
  </r>
  <r>
    <n v="1629013"/>
    <x v="11"/>
    <n v="0"/>
    <n v="1610612752"/>
    <s v="NYK"/>
    <n v="29"/>
    <n v="51"/>
    <n v="12"/>
    <n v="1171"/>
    <n v="159"/>
    <n v="364"/>
    <x v="94"/>
    <n v="103"/>
    <n v="263"/>
    <n v="0.39200000000000002"/>
    <n v="54"/>
    <n v="76"/>
    <n v="0.71099999999999997"/>
    <n v="23"/>
    <n v="69"/>
    <n v="92"/>
    <n v="72"/>
    <n v="31"/>
    <n v="9"/>
    <n v="30"/>
    <n v="77"/>
    <n v="475"/>
    <x v="14"/>
  </r>
  <r>
    <n v="1641998"/>
    <x v="9"/>
    <n v="0"/>
    <n v="1610612764"/>
    <s v="WAS"/>
    <n v="24"/>
    <n v="2"/>
    <n v="0"/>
    <n v="1"/>
    <n v="0"/>
    <n v="0"/>
    <x v="95"/>
    <n v="0"/>
    <n v="0"/>
    <n v="0"/>
    <n v="0"/>
    <n v="0"/>
    <n v="0"/>
    <n v="0"/>
    <n v="1"/>
    <n v="1"/>
    <n v="0"/>
    <n v="0"/>
    <n v="0"/>
    <n v="1"/>
    <n v="0"/>
    <n v="0"/>
    <x v="15"/>
  </r>
  <r>
    <n v="1641998"/>
    <x v="9"/>
    <n v="0"/>
    <n v="1610612763"/>
    <s v="MEM"/>
    <n v="24"/>
    <n v="23"/>
    <n v="14"/>
    <n v="573"/>
    <n v="75"/>
    <n v="136"/>
    <x v="96"/>
    <n v="0"/>
    <n v="0"/>
    <n v="0"/>
    <n v="21"/>
    <n v="25"/>
    <n v="0.84"/>
    <n v="64"/>
    <n v="69"/>
    <n v="133"/>
    <n v="27"/>
    <n v="12"/>
    <n v="28"/>
    <n v="33"/>
    <n v="69"/>
    <n v="171"/>
    <x v="15"/>
  </r>
  <r>
    <n v="1641998"/>
    <x v="9"/>
    <n v="0"/>
    <n v="0"/>
    <s v="TOT"/>
    <n v="24"/>
    <n v="25"/>
    <n v="14"/>
    <n v="574"/>
    <n v="75"/>
    <n v="136"/>
    <x v="96"/>
    <n v="0"/>
    <n v="0"/>
    <n v="0"/>
    <n v="21"/>
    <n v="25"/>
    <n v="0.84"/>
    <n v="64"/>
    <n v="70"/>
    <n v="134"/>
    <n v="27"/>
    <n v="12"/>
    <n v="28"/>
    <n v="34"/>
    <n v="69"/>
    <n v="171"/>
    <x v="15"/>
  </r>
  <r>
    <n v="1641998"/>
    <x v="10"/>
    <n v="0"/>
    <n v="1610612740"/>
    <s v="NOP"/>
    <n v="25"/>
    <n v="16"/>
    <n v="0"/>
    <n v="166"/>
    <n v="15"/>
    <n v="32"/>
    <x v="20"/>
    <n v="0"/>
    <n v="0"/>
    <n v="0"/>
    <n v="8"/>
    <n v="21"/>
    <n v="0.38100000000000001"/>
    <n v="22"/>
    <n v="22"/>
    <n v="44"/>
    <n v="10"/>
    <n v="7"/>
    <n v="6"/>
    <n v="10"/>
    <n v="27"/>
    <n v="38"/>
    <x v="15"/>
  </r>
  <r>
    <n v="1641998"/>
    <x v="10"/>
    <n v="0"/>
    <n v="1610612747"/>
    <s v="LAL"/>
    <n v="25"/>
    <n v="22"/>
    <n v="0"/>
    <n v="226"/>
    <n v="26"/>
    <n v="42"/>
    <x v="97"/>
    <n v="0"/>
    <n v="0"/>
    <n v="0"/>
    <n v="5"/>
    <n v="12"/>
    <n v="0.41699999999999998"/>
    <n v="22"/>
    <n v="39"/>
    <n v="61"/>
    <n v="6"/>
    <n v="2"/>
    <n v="9"/>
    <n v="14"/>
    <n v="42"/>
    <n v="57"/>
    <x v="15"/>
  </r>
  <r>
    <n v="1641998"/>
    <x v="10"/>
    <n v="0"/>
    <n v="0"/>
    <s v="TOT"/>
    <n v="25"/>
    <n v="38"/>
    <n v="0"/>
    <n v="392"/>
    <n v="41"/>
    <n v="74"/>
    <x v="98"/>
    <n v="0"/>
    <n v="0"/>
    <n v="0"/>
    <n v="13"/>
    <n v="33"/>
    <n v="0.39400000000000002"/>
    <n v="44"/>
    <n v="61"/>
    <n v="105"/>
    <n v="16"/>
    <n v="9"/>
    <n v="15"/>
    <n v="24"/>
    <n v="69"/>
    <n v="95"/>
    <x v="15"/>
  </r>
  <r>
    <n v="1641998"/>
    <x v="11"/>
    <n v="0"/>
    <n v="1610612752"/>
    <s v="NYK"/>
    <n v="26"/>
    <n v="13"/>
    <n v="0"/>
    <n v="82"/>
    <n v="6"/>
    <n v="10"/>
    <x v="99"/>
    <n v="0"/>
    <n v="0"/>
    <n v="0"/>
    <n v="1"/>
    <n v="1"/>
    <n v="1"/>
    <n v="8"/>
    <n v="10"/>
    <n v="18"/>
    <n v="5"/>
    <n v="1"/>
    <n v="2"/>
    <n v="10"/>
    <n v="11"/>
    <n v="13"/>
    <x v="15"/>
  </r>
  <r>
    <n v="1642885"/>
    <x v="11"/>
    <n v="0"/>
    <n v="1610612752"/>
    <s v="NYK"/>
    <n v="21"/>
    <n v="69"/>
    <n v="7"/>
    <n v="634"/>
    <n v="90"/>
    <n v="213"/>
    <x v="19"/>
    <n v="48"/>
    <n v="130"/>
    <n v="0.36899999999999999"/>
    <n v="18"/>
    <n v="24"/>
    <n v="0.75"/>
    <n v="15"/>
    <n v="79"/>
    <n v="94"/>
    <n v="53"/>
    <n v="17"/>
    <n v="6"/>
    <n v="30"/>
    <n v="50"/>
    <n v="246"/>
    <x v="16"/>
  </r>
  <r>
    <n v="1630574"/>
    <x v="10"/>
    <n v="0"/>
    <n v="1610612752"/>
    <s v="NYK"/>
    <n v="23"/>
    <n v="25"/>
    <n v="1"/>
    <n v="217"/>
    <n v="21"/>
    <n v="31"/>
    <x v="100"/>
    <n v="0"/>
    <n v="0"/>
    <n v="0"/>
    <n v="6"/>
    <n v="13"/>
    <n v="0.46200000000000002"/>
    <n v="14"/>
    <n v="37"/>
    <n v="51"/>
    <n v="11"/>
    <n v="1"/>
    <n v="15"/>
    <n v="21"/>
    <n v="32"/>
    <n v="48"/>
    <x v="17"/>
  </r>
  <r>
    <n v="1630574"/>
    <x v="11"/>
    <n v="0"/>
    <n v="1610612752"/>
    <s v="NYK"/>
    <n v="24"/>
    <n v="54"/>
    <n v="5"/>
    <n v="498"/>
    <n v="45"/>
    <n v="80"/>
    <x v="101"/>
    <n v="1"/>
    <n v="4"/>
    <n v="0.25"/>
    <n v="26"/>
    <n v="33"/>
    <n v="0.78800000000000003"/>
    <n v="56"/>
    <n v="103"/>
    <n v="159"/>
    <n v="29"/>
    <n v="9"/>
    <n v="26"/>
    <n v="32"/>
    <n v="67"/>
    <n v="117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CAC0D7-3155-43C8-B7AC-2AF1DDB976EB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B24:O43" firstHeaderRow="0" firstDataRow="1" firstDataCol="1"/>
  <pivotFields count="28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Row" compact="0" outline="0" showAll="0">
      <items count="19">
        <item x="17"/>
        <item x="1"/>
        <item x="8"/>
        <item x="10"/>
        <item x="0"/>
        <item x="5"/>
        <item x="3"/>
        <item x="13"/>
        <item x="7"/>
        <item x="14"/>
        <item x="12"/>
        <item x="2"/>
        <item x="11"/>
        <item x="16"/>
        <item x="6"/>
        <item x="4"/>
        <item x="15"/>
        <item x="9"/>
        <item t="default"/>
      </items>
    </pivotField>
  </pivotFields>
  <rowFields count="1">
    <field x="27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Current Age" fld="5" subtotal="max" baseField="27" baseItem="4"/>
    <dataField name="Total MIN" fld="8" baseField="27" baseItem="4" numFmtId="3"/>
    <dataField name="Avg PTS" fld="26" subtotal="average" baseField="27" baseItem="4" numFmtId="164"/>
    <dataField name="Avg FGM" fld="9" subtotal="average" baseField="27" baseItem="4" numFmtId="164"/>
    <dataField name="Avg 3PT" fld="12" subtotal="average" baseField="27" baseItem="4" numFmtId="164"/>
    <dataField name="Avg FTM" fld="15" subtotal="average" baseField="27" baseItem="6" numFmtId="164"/>
    <dataField name="Avg REB" fld="20" subtotal="average" baseField="27" baseItem="1" numFmtId="164"/>
    <dataField name="Avg AST" fld="21" subtotal="average" baseField="27" baseItem="1" numFmtId="164"/>
    <dataField name="Avg STL" fld="22" subtotal="average" baseField="27" baseItem="1" numFmtId="164"/>
    <dataField name="Avg BLK" fld="23" subtotal="average" baseField="27" baseItem="1" numFmtId="164"/>
    <dataField name="Avg TOV" fld="24" subtotal="average" baseField="27" baseItem="1" numFmtId="164"/>
    <dataField name="Avg FOUL" fld="25" subtotal="average" baseField="27" baseItem="0" numFmtId="164"/>
    <dataField name="Total GP" fld="6" baseField="27" baseItem="0"/>
  </dataFields>
  <formats count="1">
    <format dxfId="4">
      <pivotArea dataOnly="0" labelOnly="1" outline="0" fieldPosition="0">
        <references count="1">
          <reference field="27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CBD36B-891A-4B49-B4E4-EDDB0B6DCDEF}" name="PivotTable2" cacheId="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I22:AS24" firstHeaderRow="1" firstDataRow="2" firstDataCol="1" rowPageCount="1" colPageCount="1"/>
  <pivotFields count="28">
    <pivotField compact="0" outline="0" showAll="0"/>
    <pivotField axis="axisCol"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ubtotalTop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Page" compact="0" outline="0" showAll="0">
      <items count="20">
        <item x="17"/>
        <item x="1"/>
        <item x="8"/>
        <item x="10"/>
        <item x="0"/>
        <item x="5"/>
        <item x="3"/>
        <item x="13"/>
        <item x="7"/>
        <item x="14"/>
        <item x="12"/>
        <item x="2"/>
        <item x="11"/>
        <item x="16"/>
        <item x="6"/>
        <item x="4"/>
        <item x="15"/>
        <item x="9"/>
        <item x="18"/>
        <item t="default"/>
      </items>
    </pivotField>
  </pivotFields>
  <rowItems count="1">
    <i/>
  </rowItems>
  <colFields count="1">
    <field x="1"/>
  </colFields>
  <colItems count="10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27" item="14" hier="-1"/>
  </pageFields>
  <dataFields count="1">
    <dataField name="Count of PTS" fld="26" subtotal="count" baseField="1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E1D53-1640-4D82-81DB-DA560EF3731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I6:AK17" firstHeaderRow="0" firstDataRow="1" firstDataCol="1" rowPageCount="1" colPageCount="1"/>
  <pivotFields count="28">
    <pivotField compact="0" outline="0" showAll="0"/>
    <pivotField axis="axisPage"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ubtotalTop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20">
        <item x="17"/>
        <item x="1"/>
        <item x="8"/>
        <item x="10"/>
        <item x="0"/>
        <item x="5"/>
        <item x="3"/>
        <item x="13"/>
        <item x="7"/>
        <item x="14"/>
        <item x="12"/>
        <item x="2"/>
        <item x="11"/>
        <item x="16"/>
        <item x="6"/>
        <item x="4"/>
        <item x="15"/>
        <item x="9"/>
        <item x="18"/>
        <item t="default"/>
      </items>
    </pivotField>
  </pivotFields>
  <rowFields count="1">
    <field x="27"/>
  </rowFields>
  <rowItems count="11">
    <i>
      <x v="2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7" hier="-1"/>
  </pageFields>
  <dataFields count="2">
    <dataField name="Sum of AST" fld="21" baseField="0" baseItem="0"/>
    <dataField name="Sum of PT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E741330-80F3-42CE-B26B-92EEA9A1B008}" autoFormatId="16" applyNumberFormats="0" applyBorderFormats="0" applyFontFormats="0" applyPatternFormats="0" applyAlignmentFormats="0" applyWidthHeightFormats="0">
  <queryTableRefresh nextId="29" unboundColumnsRight="1">
    <queryTableFields count="28">
      <queryTableField id="1" name="PLAYER_ID" tableColumnId="1"/>
      <queryTableField id="2" name="SEASON_ID" tableColumnId="2"/>
      <queryTableField id="3" name="LEAGUE_ID" tableColumnId="3"/>
      <queryTableField id="4" name="TEAM_ID" tableColumnId="4"/>
      <queryTableField id="5" name="TEAM_ABBREVIATION" tableColumnId="5"/>
      <queryTableField id="6" name="PLAYER_AGE" tableColumnId="6"/>
      <queryTableField id="7" name="GP" tableColumnId="7"/>
      <queryTableField id="8" name="GS" tableColumnId="8"/>
      <queryTableField id="9" name="MIN" tableColumnId="9"/>
      <queryTableField id="10" name="FGM" tableColumnId="10"/>
      <queryTableField id="11" name="FGA" tableColumnId="11"/>
      <queryTableField id="12" name="FG_PCT" tableColumnId="12"/>
      <queryTableField id="13" name="FG3M" tableColumnId="13"/>
      <queryTableField id="14" name="FG3A" tableColumnId="14"/>
      <queryTableField id="15" name="FG3_PCT" tableColumnId="15"/>
      <queryTableField id="16" name="FTM" tableColumnId="16"/>
      <queryTableField id="17" name="FTA" tableColumnId="17"/>
      <queryTableField id="18" name="FT_PCT" tableColumnId="18"/>
      <queryTableField id="19" name="OREB" tableColumnId="19"/>
      <queryTableField id="20" name="DREB" tableColumnId="20"/>
      <queryTableField id="21" name="REB" tableColumnId="21"/>
      <queryTableField id="22" name="AST" tableColumnId="22"/>
      <queryTableField id="23" name="STL" tableColumnId="23"/>
      <queryTableField id="24" name="BLK" tableColumnId="24"/>
      <queryTableField id="25" name="TOV" tableColumnId="25"/>
      <queryTableField id="26" name="PF" tableColumnId="26"/>
      <queryTableField id="27" name="PTS" tableColumnId="27"/>
      <queryTableField id="28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6248D-76D5-4A9A-9CB9-35088E3EB410}" name="knicks" displayName="knicks" ref="A1:AB113" tableType="queryTable" totalsRowShown="0">
  <autoFilter ref="A1:AB113" xr:uid="{ED26248D-76D5-4A9A-9CB9-35088E3EB410}"/>
  <tableColumns count="28">
    <tableColumn id="1" xr3:uid="{36F82704-AF6A-42BD-A4B1-FCD654438C9F}" uniqueName="1" name="PLAYER_ID" queryTableFieldId="1"/>
    <tableColumn id="2" xr3:uid="{9DF9986C-0468-407B-BA7C-6AB8662DA9AA}" uniqueName="2" name="SEASON_ID" queryTableFieldId="2" dataDxfId="3"/>
    <tableColumn id="3" xr3:uid="{41C61CBD-71C4-4525-9BD4-E242A21008EA}" uniqueName="3" name="LEAGUE_ID" queryTableFieldId="3"/>
    <tableColumn id="4" xr3:uid="{71BC39F8-2A4D-44BD-ACE3-480DF3A57327}" uniqueName="4" name="TEAM_ID" queryTableFieldId="4"/>
    <tableColumn id="5" xr3:uid="{0AF7DF23-2743-40F1-A49A-965927A7747C}" uniqueName="5" name="TEAM_ABBREVIATION" queryTableFieldId="5" dataDxfId="2"/>
    <tableColumn id="6" xr3:uid="{05715D34-1797-4235-BD6C-5F4A13411A70}" uniqueName="6" name="PLAYER_AGE" queryTableFieldId="6"/>
    <tableColumn id="7" xr3:uid="{DEBEC060-D77D-4EF1-B729-3A5BFB9E6E23}" uniqueName="7" name="GP" queryTableFieldId="7"/>
    <tableColumn id="8" xr3:uid="{884064C7-189D-4F97-A50E-35410C1281ED}" uniqueName="8" name="GS" queryTableFieldId="8"/>
    <tableColumn id="9" xr3:uid="{7DDD8289-5E85-418A-B7C9-BEDC30374AD5}" uniqueName="9" name="MIN" queryTableFieldId="9"/>
    <tableColumn id="10" xr3:uid="{8E46D97F-4C91-4DF4-8BD2-07E3B979E499}" uniqueName="10" name="FGM" queryTableFieldId="10"/>
    <tableColumn id="11" xr3:uid="{4B5C7AAE-2169-4F41-82A1-50A8F1864AC8}" uniqueName="11" name="FGA" queryTableFieldId="11"/>
    <tableColumn id="12" xr3:uid="{CF755A1E-E288-4912-A3E1-5BAE5810D121}" uniqueName="12" name="FG_PCT" queryTableFieldId="12"/>
    <tableColumn id="13" xr3:uid="{C42092C2-F4A1-416F-A14A-B6FBCCDE5959}" uniqueName="13" name="FG3M" queryTableFieldId="13"/>
    <tableColumn id="14" xr3:uid="{07BEBFB6-9395-4875-B35A-0591C3F120AC}" uniqueName="14" name="FG3A" queryTableFieldId="14"/>
    <tableColumn id="15" xr3:uid="{E03CC957-247F-4A77-8697-5E344CEB7A05}" uniqueName="15" name="FG3_PCT" queryTableFieldId="15"/>
    <tableColumn id="16" xr3:uid="{AEB3BCE6-D36D-4B88-9DC5-8706480EB56C}" uniqueName="16" name="FTM" queryTableFieldId="16"/>
    <tableColumn id="17" xr3:uid="{2ACBD85D-DEBE-450B-AFD5-2B601FEA1665}" uniqueName="17" name="FTA" queryTableFieldId="17"/>
    <tableColumn id="18" xr3:uid="{0EE1B582-B3E6-4BF1-BBF0-E3594A4131FB}" uniqueName="18" name="FT_PCT" queryTableFieldId="18"/>
    <tableColumn id="19" xr3:uid="{8BBD559F-3A78-44C1-8D5D-83538E20C9B2}" uniqueName="19" name="OREB" queryTableFieldId="19"/>
    <tableColumn id="20" xr3:uid="{CD0B7432-252A-4F85-A5C7-93492FA4AD33}" uniqueName="20" name="DREB" queryTableFieldId="20"/>
    <tableColumn id="21" xr3:uid="{655E8149-B14B-4E11-9EDB-9764BB660D3C}" uniqueName="21" name="REB" queryTableFieldId="21"/>
    <tableColumn id="22" xr3:uid="{AB01156A-4F63-482B-8002-8ADBDB0D0C4D}" uniqueName="22" name="AST" queryTableFieldId="22"/>
    <tableColumn id="23" xr3:uid="{D44EF126-29B7-4446-8F01-558B615EC225}" uniqueName="23" name="STL" queryTableFieldId="23"/>
    <tableColumn id="24" xr3:uid="{15CA4E40-2A74-4B3A-856A-232DA8F526CA}" uniqueName="24" name="BLK" queryTableFieldId="24"/>
    <tableColumn id="25" xr3:uid="{87B21A7D-F569-477B-86BF-BA95639C3D29}" uniqueName="25" name="TOV" queryTableFieldId="25"/>
    <tableColumn id="26" xr3:uid="{CBB108F5-5A37-496F-93F5-A0DE1DED0497}" uniqueName="26" name="PF" queryTableFieldId="26"/>
    <tableColumn id="27" xr3:uid="{70C48634-FD76-4189-8B8D-5789D6F1CF91}" uniqueName="27" name="PTS" queryTableFieldId="27" dataDxfId="1"/>
    <tableColumn id="28" xr3:uid="{B5126832-9C9D-48DF-B0C4-51664F6BADB5}" uniqueName="28" name="Name" queryTableFieldId="28" dataDxfId="0">
      <calculatedColumnFormula>_xlfn.XLOOKUP(A2,$AE$7:$AE$24,$AF$7:$AF$24,"???")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45D44-F87F-4FC5-8DEE-846C963A9715}">
  <sheetPr codeName="Sheet2"/>
  <dimension ref="A1:AG45"/>
  <sheetViews>
    <sheetView tabSelected="1" zoomScaleNormal="100" workbookViewId="0">
      <selection activeCell="Z43" sqref="Z43"/>
    </sheetView>
  </sheetViews>
  <sheetFormatPr defaultColWidth="0" defaultRowHeight="15" zeroHeight="1" x14ac:dyDescent="0.25"/>
  <cols>
    <col min="1" max="1" width="3.5703125" customWidth="1"/>
    <col min="2" max="3" width="18.85546875" style="15" bestFit="1" customWidth="1"/>
    <col min="4" max="4" width="11.7109375" style="15" bestFit="1" customWidth="1"/>
    <col min="5" max="5" width="9.42578125" style="15" bestFit="1" customWidth="1"/>
    <col min="6" max="6" width="7.85546875" style="15" bestFit="1" customWidth="1"/>
    <col min="7" max="7" width="8.5703125" style="15" bestFit="1" customWidth="1"/>
    <col min="8" max="8" width="7.7109375" style="15" bestFit="1" customWidth="1"/>
    <col min="9" max="10" width="8.140625" style="15" bestFit="1" customWidth="1"/>
    <col min="11" max="11" width="7.85546875" style="15" bestFit="1" customWidth="1"/>
    <col min="12" max="12" width="7.7109375" style="15" bestFit="1" customWidth="1"/>
    <col min="13" max="13" width="7.85546875" style="15" bestFit="1" customWidth="1"/>
    <col min="14" max="14" width="8.140625" style="15" bestFit="1" customWidth="1"/>
    <col min="15" max="15" width="9.28515625" style="15" bestFit="1" customWidth="1"/>
    <col min="16" max="16" width="3.5703125" style="15" customWidth="1"/>
    <col min="17" max="17" width="13.7109375" style="15" bestFit="1" customWidth="1"/>
    <col min="18" max="19" width="19.5703125" style="15" bestFit="1" customWidth="1"/>
    <col min="20" max="20" width="18.42578125" style="15" bestFit="1" customWidth="1"/>
    <col min="21" max="21" width="3.5703125" style="15" customWidth="1"/>
    <col min="22" max="32" width="10.140625" style="15" bestFit="1" customWidth="1"/>
    <col min="33" max="33" width="0" hidden="1" customWidth="1"/>
    <col min="34" max="16384" width="9.140625" hidden="1"/>
  </cols>
  <sheetData>
    <row r="1" spans="1:30" x14ac:dyDescent="0.25">
      <c r="A1" s="15"/>
      <c r="B1" s="16"/>
      <c r="C1" s="16"/>
      <c r="D1" s="16"/>
      <c r="E1" s="16"/>
    </row>
    <row r="2" spans="1:30" ht="24" customHeight="1" x14ac:dyDescent="0.25">
      <c r="A2" s="15"/>
      <c r="B2" s="14" t="s">
        <v>84</v>
      </c>
      <c r="C2" s="6" t="s">
        <v>56</v>
      </c>
      <c r="D2" s="14" t="s">
        <v>82</v>
      </c>
      <c r="E2" s="5" t="b">
        <v>0</v>
      </c>
    </row>
    <row r="3" spans="1:30" x14ac:dyDescent="0.25">
      <c r="A3" s="15"/>
    </row>
    <row r="4" spans="1:30" x14ac:dyDescent="0.25">
      <c r="A4" s="15"/>
      <c r="B4" s="3" t="s">
        <v>85</v>
      </c>
      <c r="Q4" s="3" t="s">
        <v>86</v>
      </c>
    </row>
    <row r="5" spans="1:30" x14ac:dyDescent="0.25">
      <c r="A5" s="15"/>
      <c r="B5" s="3" t="s">
        <v>78</v>
      </c>
      <c r="C5" s="3" t="s">
        <v>79</v>
      </c>
      <c r="D5" s="3" t="s">
        <v>7</v>
      </c>
      <c r="E5" s="3" t="s">
        <v>25</v>
      </c>
      <c r="F5" s="3" t="s">
        <v>8</v>
      </c>
      <c r="G5" s="3" t="s">
        <v>80</v>
      </c>
      <c r="H5" s="3" t="s">
        <v>14</v>
      </c>
      <c r="I5" s="3" t="s">
        <v>19</v>
      </c>
      <c r="J5" s="3" t="s">
        <v>20</v>
      </c>
      <c r="K5" s="3" t="s">
        <v>21</v>
      </c>
      <c r="L5" s="3" t="s">
        <v>22</v>
      </c>
      <c r="M5" s="3" t="s">
        <v>23</v>
      </c>
      <c r="N5" s="3" t="s">
        <v>81</v>
      </c>
      <c r="O5" s="3" t="s">
        <v>5</v>
      </c>
      <c r="Q5" s="3" t="s">
        <v>83</v>
      </c>
      <c r="R5" s="3" t="s">
        <v>87</v>
      </c>
      <c r="S5" s="3" t="s">
        <v>88</v>
      </c>
      <c r="T5" s="3" t="s">
        <v>89</v>
      </c>
      <c r="V5"/>
      <c r="W5"/>
      <c r="X5"/>
      <c r="Y5"/>
      <c r="Z5"/>
      <c r="AA5"/>
      <c r="AB5"/>
      <c r="AC5"/>
      <c r="AD5"/>
    </row>
    <row r="6" spans="1:30" x14ac:dyDescent="0.25">
      <c r="A6" s="15"/>
      <c r="B6" t="str" cm="1">
        <f t="array" ref="B6:B19">_xlfn._xlws.FILTER(Data!B:B,Data!AB:AB=C2)</f>
        <v>2014-15</v>
      </c>
      <c r="C6" s="4" t="str" cm="1">
        <f t="array" ref="C6:C19">_xlfn._xlws.FILTER(Data!E:E,Data!AB:AB=Analysis!$C$2)</f>
        <v>LAL</v>
      </c>
      <c r="D6" cm="1">
        <f t="array" ref="D6:D19">ROUND(_xlfn._xlws.FILTER(Data!I:I,Data!AB:AB=Analysis!$C$2) / IF($E$2,_xlfn.ANCHORARRAY( O6), 1), 2)</f>
        <v>1476</v>
      </c>
      <c r="E6" cm="1">
        <f t="array" ref="E6:E19">ROUND(_xlfn._xlws.FILTER(Data!AA:AA,Data!AB:AB=Analysis!$C$2) / IF($E$2,_xlfn.ANCHORARRAY( O6), 1), 2)</f>
        <v>703</v>
      </c>
      <c r="F6" cm="1">
        <f t="array" ref="F6:F19">ROUND(_xlfn._xlws.FILTER(Data!J:J,Data!AB:AB=Analysis!$C$2) / IF($E$2,_xlfn.ANCHORARRAY( O6), 1), 2)</f>
        <v>267</v>
      </c>
      <c r="G6" cm="1">
        <f t="array" ref="G6:G19">ROUND(_xlfn._xlws.FILTER(Data!M:M,Data!AB:AB=Analysis!$C$2) / IF($E$2,_xlfn.ANCHORARRAY( O6), 1), 2)</f>
        <v>38</v>
      </c>
      <c r="H6" cm="1">
        <f t="array" ref="H6:H19">ROUND(_xlfn._xlws.FILTER(Data!P:P,Data!AB:AB=Analysis!$C$2) / IF($E$2,_xlfn.ANCHORARRAY( O6), 1), 2)</f>
        <v>131</v>
      </c>
      <c r="I6" cm="1">
        <f t="array" ref="I6:I19">ROUND(_xlfn._xlws.FILTER(Data!U:U,Data!AB:AB=Analysis!$C$2) / IF($E$2,_xlfn.ANCHORARRAY( O6), 1), 2)</f>
        <v>191</v>
      </c>
      <c r="J6" cm="1">
        <f t="array" ref="J6:J19">ROUND(_xlfn._xlws.FILTER(Data!V:V,Data!AB:AB=Analysis!$C$2) / IF($E$2,_xlfn.ANCHORARRAY( O6), 1), 2)</f>
        <v>206</v>
      </c>
      <c r="K6" cm="1">
        <f t="array" ref="K6:K19">ROUND(_xlfn._xlws.FILTER(Data!W:W,Data!AB:AB=Analysis!$C$2) / IF($E$2,_xlfn.ANCHORARRAY( O6), 1), 2)</f>
        <v>51</v>
      </c>
      <c r="L6" cm="1">
        <f t="array" ref="L6:L19">ROUND(_xlfn._xlws.FILTER(Data!X:X,Data!AB:AB=Analysis!$C$2) / IF($E$2,_xlfn.ANCHORARRAY( O6), 1), 2)</f>
        <v>12</v>
      </c>
      <c r="M6" cm="1">
        <f t="array" ref="M6:M19">ROUND(_xlfn._xlws.FILTER(Data!Y:Y,Data!AB:AB=Analysis!$C$2) / IF($E$2,_xlfn.ANCHORARRAY( O6), 1), 2)</f>
        <v>96</v>
      </c>
      <c r="N6" cm="1">
        <f t="array" ref="N6:N19">ROUND(_xlfn._xlws.FILTER(Data!Z:Z,Data!AB:AB=Analysis!$C$2) / IF($E$2,_xlfn.ANCHORARRAY( O6), 1), 2)</f>
        <v>109</v>
      </c>
      <c r="O6" cm="1">
        <f t="array" ref="O6:O19">_xlfn._xlws.FILTER(Data!G:G,Data!AB:AB=Analysis!$C$2)</f>
        <v>59</v>
      </c>
      <c r="Q6">
        <f t="shared" ref="Q6:Q16" si="0">IF(E6, E6, "")</f>
        <v>703</v>
      </c>
      <c r="R6" s="12">
        <f t="shared" ref="R6:R16" si="1">IF(F6, ROUND(((F6-G6)*2)/Q6,4), "")</f>
        <v>0.65149999999999997</v>
      </c>
      <c r="S6" s="12">
        <f t="shared" ref="S6:S16" si="2">IF(G6, ROUND((G6*3)/Q6,4), "")</f>
        <v>0.16220000000000001</v>
      </c>
      <c r="T6" s="12">
        <f t="shared" ref="T6:T16" si="3">IF(H6,ROUND(H6/Q6,4),"")</f>
        <v>0.18629999999999999</v>
      </c>
      <c r="V6"/>
      <c r="W6"/>
      <c r="X6"/>
      <c r="Y6"/>
      <c r="Z6"/>
      <c r="AA6"/>
      <c r="AB6"/>
      <c r="AC6"/>
      <c r="AD6"/>
    </row>
    <row r="7" spans="1:30" x14ac:dyDescent="0.25">
      <c r="A7" s="15"/>
      <c r="B7" t="str">
        <v>2015-16</v>
      </c>
      <c r="C7" s="4" t="str">
        <v>LAL</v>
      </c>
      <c r="D7">
        <v>2552</v>
      </c>
      <c r="E7">
        <v>1225</v>
      </c>
      <c r="F7">
        <v>475</v>
      </c>
      <c r="G7">
        <v>111</v>
      </c>
      <c r="H7">
        <v>164</v>
      </c>
      <c r="I7">
        <v>313</v>
      </c>
      <c r="J7">
        <v>192</v>
      </c>
      <c r="K7">
        <v>88</v>
      </c>
      <c r="L7">
        <v>7</v>
      </c>
      <c r="M7">
        <v>135</v>
      </c>
      <c r="N7">
        <v>168</v>
      </c>
      <c r="O7">
        <v>79</v>
      </c>
      <c r="Q7">
        <f t="shared" si="0"/>
        <v>1225</v>
      </c>
      <c r="R7" s="12">
        <f t="shared" si="1"/>
        <v>0.59430000000000005</v>
      </c>
      <c r="S7" s="12">
        <f t="shared" si="2"/>
        <v>0.27179999999999999</v>
      </c>
      <c r="T7" s="12">
        <f t="shared" si="3"/>
        <v>0.13389999999999999</v>
      </c>
      <c r="V7"/>
      <c r="W7"/>
      <c r="X7"/>
      <c r="Y7"/>
      <c r="Z7"/>
      <c r="AA7"/>
      <c r="AB7"/>
      <c r="AC7"/>
      <c r="AD7"/>
    </row>
    <row r="8" spans="1:30" x14ac:dyDescent="0.25">
      <c r="A8" s="15"/>
      <c r="B8" t="str">
        <v>2016-17</v>
      </c>
      <c r="C8" s="4" t="str">
        <v>LAL</v>
      </c>
      <c r="D8">
        <v>2397</v>
      </c>
      <c r="E8">
        <v>1205</v>
      </c>
      <c r="F8">
        <v>477</v>
      </c>
      <c r="G8">
        <v>117</v>
      </c>
      <c r="H8">
        <v>134</v>
      </c>
      <c r="I8">
        <v>246</v>
      </c>
      <c r="J8">
        <v>213</v>
      </c>
      <c r="K8">
        <v>88</v>
      </c>
      <c r="L8">
        <v>8</v>
      </c>
      <c r="M8">
        <v>164</v>
      </c>
      <c r="N8">
        <v>150</v>
      </c>
      <c r="O8">
        <v>82</v>
      </c>
      <c r="Q8">
        <f t="shared" si="0"/>
        <v>1205</v>
      </c>
      <c r="R8" s="12">
        <f t="shared" si="1"/>
        <v>0.59750000000000003</v>
      </c>
      <c r="S8" s="12">
        <f t="shared" si="2"/>
        <v>0.2913</v>
      </c>
      <c r="T8" s="12">
        <f t="shared" si="3"/>
        <v>0.11119999999999999</v>
      </c>
      <c r="V8"/>
      <c r="W8"/>
      <c r="X8"/>
      <c r="Y8"/>
      <c r="Z8"/>
      <c r="AA8"/>
      <c r="AB8"/>
      <c r="AC8"/>
      <c r="AD8"/>
    </row>
    <row r="9" spans="1:30" x14ac:dyDescent="0.25">
      <c r="A9" s="15"/>
      <c r="B9" t="str">
        <v>2017-18</v>
      </c>
      <c r="C9" s="4" t="str">
        <v>LAL</v>
      </c>
      <c r="D9">
        <v>1256</v>
      </c>
      <c r="E9">
        <v>771</v>
      </c>
      <c r="F9">
        <v>299</v>
      </c>
      <c r="G9">
        <v>68</v>
      </c>
      <c r="H9">
        <v>105</v>
      </c>
      <c r="I9">
        <v>159</v>
      </c>
      <c r="J9">
        <v>173</v>
      </c>
      <c r="K9">
        <v>39</v>
      </c>
      <c r="L9">
        <v>3</v>
      </c>
      <c r="M9">
        <v>95</v>
      </c>
      <c r="N9">
        <v>63</v>
      </c>
      <c r="O9">
        <v>53</v>
      </c>
      <c r="Q9">
        <f t="shared" si="0"/>
        <v>771</v>
      </c>
      <c r="R9" s="12">
        <f t="shared" si="1"/>
        <v>0.59919999999999995</v>
      </c>
      <c r="S9" s="12">
        <f t="shared" si="2"/>
        <v>0.2646</v>
      </c>
      <c r="T9" s="12">
        <f t="shared" si="3"/>
        <v>0.13619999999999999</v>
      </c>
      <c r="V9"/>
      <c r="W9"/>
      <c r="X9"/>
      <c r="Y9"/>
      <c r="Z9"/>
      <c r="AA9"/>
      <c r="AB9"/>
      <c r="AC9"/>
      <c r="AD9"/>
    </row>
    <row r="10" spans="1:30" x14ac:dyDescent="0.25">
      <c r="A10" s="15"/>
      <c r="B10" t="str">
        <v>2017-18</v>
      </c>
      <c r="C10" s="7" t="str">
        <v>CLE</v>
      </c>
      <c r="D10">
        <v>632</v>
      </c>
      <c r="E10">
        <v>353</v>
      </c>
      <c r="F10">
        <v>131</v>
      </c>
      <c r="G10">
        <v>44</v>
      </c>
      <c r="H10">
        <v>47</v>
      </c>
      <c r="I10">
        <v>58</v>
      </c>
      <c r="J10">
        <v>48</v>
      </c>
      <c r="K10">
        <v>19</v>
      </c>
      <c r="L10">
        <v>3</v>
      </c>
      <c r="M10">
        <v>32</v>
      </c>
      <c r="N10">
        <v>44</v>
      </c>
      <c r="O10">
        <v>28</v>
      </c>
      <c r="Q10">
        <f t="shared" si="0"/>
        <v>353</v>
      </c>
      <c r="R10" s="12">
        <f t="shared" si="1"/>
        <v>0.4929</v>
      </c>
      <c r="S10" s="12">
        <f t="shared" si="2"/>
        <v>0.37390000000000001</v>
      </c>
      <c r="T10" s="12">
        <f t="shared" si="3"/>
        <v>0.1331</v>
      </c>
      <c r="V10"/>
      <c r="W10"/>
      <c r="X10"/>
      <c r="Y10"/>
      <c r="Z10"/>
      <c r="AA10"/>
      <c r="AB10"/>
      <c r="AC10"/>
      <c r="AD10"/>
    </row>
    <row r="11" spans="1:30" x14ac:dyDescent="0.25">
      <c r="A11" s="15"/>
      <c r="B11" t="str">
        <v>2018-19</v>
      </c>
      <c r="C11" s="7" t="str">
        <v>CLE</v>
      </c>
      <c r="D11">
        <v>2215</v>
      </c>
      <c r="E11">
        <v>1364</v>
      </c>
      <c r="F11">
        <v>529</v>
      </c>
      <c r="G11">
        <v>144</v>
      </c>
      <c r="H11">
        <v>162</v>
      </c>
      <c r="I11">
        <v>270</v>
      </c>
      <c r="J11">
        <v>196</v>
      </c>
      <c r="K11">
        <v>57</v>
      </c>
      <c r="L11">
        <v>13</v>
      </c>
      <c r="M11">
        <v>135</v>
      </c>
      <c r="N11">
        <v>112</v>
      </c>
      <c r="O11">
        <v>81</v>
      </c>
      <c r="Q11">
        <f t="shared" si="0"/>
        <v>1364</v>
      </c>
      <c r="R11" s="12">
        <f t="shared" si="1"/>
        <v>0.5645</v>
      </c>
      <c r="S11" s="12">
        <f t="shared" si="2"/>
        <v>0.31669999999999998</v>
      </c>
      <c r="T11" s="12">
        <f t="shared" si="3"/>
        <v>0.1188</v>
      </c>
      <c r="V11"/>
      <c r="W11"/>
      <c r="X11"/>
      <c r="Y11"/>
      <c r="Z11"/>
      <c r="AA11"/>
      <c r="AB11"/>
      <c r="AC11"/>
      <c r="AD11"/>
    </row>
    <row r="12" spans="1:30" x14ac:dyDescent="0.25">
      <c r="A12" s="15"/>
      <c r="B12" t="str">
        <v>2019-20</v>
      </c>
      <c r="C12" s="7" t="str">
        <v>CLE</v>
      </c>
      <c r="D12">
        <v>666</v>
      </c>
      <c r="E12">
        <v>423</v>
      </c>
      <c r="F12">
        <v>144</v>
      </c>
      <c r="G12">
        <v>59</v>
      </c>
      <c r="H12">
        <v>76</v>
      </c>
      <c r="I12">
        <v>69</v>
      </c>
      <c r="J12">
        <v>70</v>
      </c>
      <c r="K12">
        <v>17</v>
      </c>
      <c r="L12">
        <v>8</v>
      </c>
      <c r="M12">
        <v>39</v>
      </c>
      <c r="N12">
        <v>33</v>
      </c>
      <c r="O12">
        <v>29</v>
      </c>
      <c r="Q12">
        <f t="shared" si="0"/>
        <v>423</v>
      </c>
      <c r="R12" s="12">
        <f t="shared" si="1"/>
        <v>0.40189999999999998</v>
      </c>
      <c r="S12" s="12">
        <f t="shared" si="2"/>
        <v>0.41839999999999999</v>
      </c>
      <c r="T12" s="12">
        <f t="shared" si="3"/>
        <v>0.1797</v>
      </c>
      <c r="V12"/>
      <c r="W12"/>
      <c r="X12"/>
      <c r="Y12"/>
      <c r="Z12"/>
      <c r="AA12"/>
      <c r="AB12"/>
      <c r="AC12"/>
      <c r="AD12"/>
    </row>
    <row r="13" spans="1:30" x14ac:dyDescent="0.25">
      <c r="A13" s="15"/>
      <c r="B13" t="str">
        <v>2019-20</v>
      </c>
      <c r="C13" s="8" t="str">
        <v>UTA</v>
      </c>
      <c r="D13">
        <v>1039</v>
      </c>
      <c r="E13">
        <v>655</v>
      </c>
      <c r="F13">
        <v>250</v>
      </c>
      <c r="G13">
        <v>93</v>
      </c>
      <c r="H13">
        <v>62</v>
      </c>
      <c r="I13">
        <v>118</v>
      </c>
      <c r="J13">
        <v>66</v>
      </c>
      <c r="K13">
        <v>29</v>
      </c>
      <c r="L13">
        <v>8</v>
      </c>
      <c r="M13">
        <v>58</v>
      </c>
      <c r="N13">
        <v>75</v>
      </c>
      <c r="O13">
        <v>42</v>
      </c>
      <c r="Q13">
        <f t="shared" si="0"/>
        <v>655</v>
      </c>
      <c r="R13" s="12">
        <f t="shared" si="1"/>
        <v>0.47939999999999999</v>
      </c>
      <c r="S13" s="12">
        <f t="shared" si="2"/>
        <v>0.42599999999999999</v>
      </c>
      <c r="T13" s="12">
        <f t="shared" si="3"/>
        <v>9.4700000000000006E-2</v>
      </c>
      <c r="V13"/>
      <c r="W13"/>
      <c r="X13"/>
      <c r="Y13"/>
      <c r="Z13"/>
      <c r="AA13"/>
      <c r="AB13"/>
      <c r="AC13"/>
      <c r="AD13"/>
    </row>
    <row r="14" spans="1:30" x14ac:dyDescent="0.25">
      <c r="A14" s="15"/>
      <c r="B14" t="str">
        <v>2020-21</v>
      </c>
      <c r="C14" s="8" t="str">
        <v>UTA</v>
      </c>
      <c r="D14">
        <v>1818</v>
      </c>
      <c r="E14">
        <v>1251</v>
      </c>
      <c r="F14">
        <v>457</v>
      </c>
      <c r="G14">
        <v>208</v>
      </c>
      <c r="H14">
        <v>129</v>
      </c>
      <c r="I14">
        <v>274</v>
      </c>
      <c r="J14">
        <v>168</v>
      </c>
      <c r="K14">
        <v>61</v>
      </c>
      <c r="L14">
        <v>10</v>
      </c>
      <c r="M14">
        <v>115</v>
      </c>
      <c r="N14">
        <v>110</v>
      </c>
      <c r="O14">
        <v>68</v>
      </c>
      <c r="Q14">
        <f t="shared" si="0"/>
        <v>1251</v>
      </c>
      <c r="R14" s="12">
        <f t="shared" si="1"/>
        <v>0.39810000000000001</v>
      </c>
      <c r="S14" s="12">
        <f t="shared" si="2"/>
        <v>0.49880000000000002</v>
      </c>
      <c r="T14" s="12">
        <f t="shared" si="3"/>
        <v>0.1031</v>
      </c>
      <c r="V14"/>
      <c r="W14"/>
      <c r="X14"/>
      <c r="Y14"/>
      <c r="Z14"/>
      <c r="AA14"/>
      <c r="AB14"/>
      <c r="AC14"/>
      <c r="AD14"/>
    </row>
    <row r="15" spans="1:30" x14ac:dyDescent="0.25">
      <c r="A15" s="15"/>
      <c r="B15" t="str">
        <v>2021-22</v>
      </c>
      <c r="C15" s="8" t="str">
        <v>UTA</v>
      </c>
      <c r="D15">
        <v>2141</v>
      </c>
      <c r="E15">
        <v>1266</v>
      </c>
      <c r="F15">
        <v>466</v>
      </c>
      <c r="G15">
        <v>190</v>
      </c>
      <c r="H15">
        <v>144</v>
      </c>
      <c r="I15">
        <v>273</v>
      </c>
      <c r="J15">
        <v>194</v>
      </c>
      <c r="K15">
        <v>66</v>
      </c>
      <c r="L15">
        <v>16</v>
      </c>
      <c r="M15">
        <v>129</v>
      </c>
      <c r="N15">
        <v>149</v>
      </c>
      <c r="O15">
        <v>79</v>
      </c>
      <c r="Q15">
        <f t="shared" si="0"/>
        <v>1266</v>
      </c>
      <c r="R15" s="12">
        <f t="shared" si="1"/>
        <v>0.436</v>
      </c>
      <c r="S15" s="12">
        <f t="shared" si="2"/>
        <v>0.45019999999999999</v>
      </c>
      <c r="T15" s="12">
        <f t="shared" si="3"/>
        <v>0.1137</v>
      </c>
      <c r="V15"/>
      <c r="W15"/>
      <c r="X15"/>
      <c r="Y15"/>
      <c r="Z15"/>
      <c r="AA15"/>
      <c r="AB15"/>
      <c r="AC15"/>
      <c r="AD15"/>
    </row>
    <row r="16" spans="1:30" x14ac:dyDescent="0.25">
      <c r="A16" s="15"/>
      <c r="B16" t="str">
        <v>2022-23</v>
      </c>
      <c r="C16" s="8" t="str">
        <v>UTA</v>
      </c>
      <c r="D16">
        <v>1988</v>
      </c>
      <c r="E16">
        <v>1271</v>
      </c>
      <c r="F16">
        <v>458</v>
      </c>
      <c r="G16">
        <v>155</v>
      </c>
      <c r="H16">
        <v>200</v>
      </c>
      <c r="I16">
        <v>246</v>
      </c>
      <c r="J16">
        <v>270</v>
      </c>
      <c r="K16">
        <v>33</v>
      </c>
      <c r="L16">
        <v>13</v>
      </c>
      <c r="M16">
        <v>186</v>
      </c>
      <c r="N16">
        <v>120</v>
      </c>
      <c r="O16">
        <v>61</v>
      </c>
      <c r="Q16">
        <f t="shared" si="0"/>
        <v>1271</v>
      </c>
      <c r="R16" s="13">
        <f t="shared" si="1"/>
        <v>0.4768</v>
      </c>
      <c r="S16" s="13">
        <f t="shared" si="2"/>
        <v>0.3659</v>
      </c>
      <c r="T16" s="13">
        <f t="shared" si="3"/>
        <v>0.15740000000000001</v>
      </c>
      <c r="V16"/>
      <c r="W16"/>
      <c r="X16"/>
      <c r="Y16"/>
      <c r="Z16"/>
      <c r="AA16"/>
      <c r="AB16"/>
      <c r="AC16"/>
      <c r="AD16"/>
    </row>
    <row r="17" spans="1:30" x14ac:dyDescent="0.25">
      <c r="A17" s="15"/>
      <c r="B17" t="str">
        <v>2023-24</v>
      </c>
      <c r="C17" s="8" t="str">
        <v>UTA</v>
      </c>
      <c r="D17">
        <v>1682</v>
      </c>
      <c r="E17">
        <v>942</v>
      </c>
      <c r="F17">
        <v>337</v>
      </c>
      <c r="G17">
        <v>91</v>
      </c>
      <c r="H17">
        <v>177</v>
      </c>
      <c r="I17">
        <v>188</v>
      </c>
      <c r="J17">
        <v>277</v>
      </c>
      <c r="K17">
        <v>35</v>
      </c>
      <c r="L17">
        <v>6</v>
      </c>
      <c r="M17">
        <v>146</v>
      </c>
      <c r="N17">
        <v>81</v>
      </c>
      <c r="O17">
        <v>55</v>
      </c>
      <c r="Q17">
        <f t="shared" ref="Q17:Q21" si="4">IF(E17, E17, "")</f>
        <v>942</v>
      </c>
      <c r="R17" s="13">
        <f t="shared" ref="R17:R21" si="5">IF(F17, ROUND(((F17-G17)*2)/Q17,4), "")</f>
        <v>0.52229999999999999</v>
      </c>
      <c r="S17" s="13">
        <f t="shared" ref="S17:S21" si="6">IF(G17, ROUND((G17*3)/Q17,4), "")</f>
        <v>0.2898</v>
      </c>
      <c r="T17" s="13">
        <f t="shared" ref="T17:T21" si="7">IF(H17,ROUND(H17/Q17,4),"")</f>
        <v>0.18790000000000001</v>
      </c>
      <c r="V17"/>
      <c r="W17"/>
      <c r="X17"/>
      <c r="Y17"/>
      <c r="Z17"/>
      <c r="AA17"/>
      <c r="AB17"/>
      <c r="AC17"/>
      <c r="AD17"/>
    </row>
    <row r="18" spans="1:30" x14ac:dyDescent="0.25">
      <c r="A18" s="15"/>
      <c r="B18" t="str">
        <v>2024-25</v>
      </c>
      <c r="C18" s="8" t="str">
        <v>UTA</v>
      </c>
      <c r="D18">
        <v>962</v>
      </c>
      <c r="E18">
        <v>600</v>
      </c>
      <c r="F18">
        <v>201</v>
      </c>
      <c r="G18">
        <v>84</v>
      </c>
      <c r="H18">
        <v>114</v>
      </c>
      <c r="I18">
        <v>118</v>
      </c>
      <c r="J18">
        <v>138</v>
      </c>
      <c r="K18">
        <v>31</v>
      </c>
      <c r="L18">
        <v>9</v>
      </c>
      <c r="M18">
        <v>86</v>
      </c>
      <c r="N18">
        <v>52</v>
      </c>
      <c r="O18">
        <v>37</v>
      </c>
      <c r="Q18">
        <f t="shared" si="4"/>
        <v>600</v>
      </c>
      <c r="R18" s="13">
        <f t="shared" si="5"/>
        <v>0.39</v>
      </c>
      <c r="S18" s="13">
        <f t="shared" si="6"/>
        <v>0.42</v>
      </c>
      <c r="T18" s="13">
        <f t="shared" si="7"/>
        <v>0.19</v>
      </c>
      <c r="V18"/>
      <c r="W18"/>
      <c r="X18"/>
      <c r="Y18"/>
      <c r="Z18"/>
      <c r="AA18"/>
      <c r="AB18"/>
      <c r="AC18"/>
      <c r="AD18"/>
    </row>
    <row r="19" spans="1:30" x14ac:dyDescent="0.25">
      <c r="A19" s="15"/>
      <c r="B19" t="str">
        <v>2025-26</v>
      </c>
      <c r="C19" s="2" t="str">
        <v>NYK</v>
      </c>
      <c r="D19">
        <v>1279</v>
      </c>
      <c r="E19">
        <v>622</v>
      </c>
      <c r="F19">
        <v>237</v>
      </c>
      <c r="G19">
        <v>70</v>
      </c>
      <c r="H19">
        <v>78</v>
      </c>
      <c r="I19">
        <v>127</v>
      </c>
      <c r="J19">
        <v>96</v>
      </c>
      <c r="K19">
        <v>30</v>
      </c>
      <c r="L19">
        <v>9</v>
      </c>
      <c r="M19">
        <v>63</v>
      </c>
      <c r="N19">
        <v>123</v>
      </c>
      <c r="O19">
        <v>72</v>
      </c>
      <c r="Q19">
        <f t="shared" si="4"/>
        <v>622</v>
      </c>
      <c r="R19" s="13">
        <f t="shared" si="5"/>
        <v>0.53700000000000003</v>
      </c>
      <c r="S19" s="13">
        <f t="shared" si="6"/>
        <v>0.33760000000000001</v>
      </c>
      <c r="T19" s="13">
        <f t="shared" si="7"/>
        <v>0.12540000000000001</v>
      </c>
      <c r="V19"/>
      <c r="W19"/>
      <c r="X19"/>
      <c r="Y19"/>
      <c r="Z19"/>
      <c r="AA19"/>
      <c r="AB19"/>
      <c r="AC19"/>
      <c r="AD19"/>
    </row>
    <row r="20" spans="1:30" x14ac:dyDescent="0.25">
      <c r="A20" s="15"/>
      <c r="Q20" s="15" t="str">
        <f t="shared" si="4"/>
        <v/>
      </c>
      <c r="R20" s="15" t="str">
        <f t="shared" si="5"/>
        <v/>
      </c>
      <c r="S20" s="15" t="str">
        <f t="shared" si="6"/>
        <v/>
      </c>
      <c r="T20" s="15" t="str">
        <f t="shared" si="7"/>
        <v/>
      </c>
      <c r="V20"/>
      <c r="W20"/>
      <c r="X20"/>
      <c r="Y20"/>
      <c r="Z20"/>
      <c r="AA20"/>
      <c r="AB20"/>
      <c r="AC20"/>
      <c r="AD20"/>
    </row>
    <row r="21" spans="1:30" x14ac:dyDescent="0.25">
      <c r="A21" s="15"/>
      <c r="Q21" s="15" t="str">
        <f t="shared" si="4"/>
        <v/>
      </c>
      <c r="R21" s="15" t="str">
        <f t="shared" si="5"/>
        <v/>
      </c>
      <c r="S21" s="15" t="str">
        <f t="shared" si="6"/>
        <v/>
      </c>
      <c r="T21" s="15" t="str">
        <f t="shared" si="7"/>
        <v/>
      </c>
      <c r="V21"/>
      <c r="W21"/>
      <c r="X21"/>
      <c r="Y21"/>
      <c r="Z21"/>
      <c r="AA21"/>
      <c r="AB21"/>
      <c r="AC21"/>
      <c r="AD21"/>
    </row>
    <row r="22" spans="1:30" ht="15" customHeight="1" x14ac:dyDescent="0.25">
      <c r="A22" s="15"/>
    </row>
    <row r="23" spans="1:30" x14ac:dyDescent="0.25">
      <c r="A23" s="15"/>
      <c r="B23" s="3" t="s">
        <v>107</v>
      </c>
      <c r="Q23" s="3" t="s">
        <v>103</v>
      </c>
    </row>
    <row r="24" spans="1:30" x14ac:dyDescent="0.25">
      <c r="A24" s="15"/>
      <c r="B24" s="1" t="s">
        <v>54</v>
      </c>
      <c r="C24" t="s">
        <v>90</v>
      </c>
      <c r="D24" t="s">
        <v>91</v>
      </c>
      <c r="E24" t="s">
        <v>92</v>
      </c>
      <c r="F24" t="s">
        <v>93</v>
      </c>
      <c r="G24" t="s">
        <v>94</v>
      </c>
      <c r="H24" t="s">
        <v>95</v>
      </c>
      <c r="I24" t="s">
        <v>96</v>
      </c>
      <c r="J24" t="s">
        <v>97</v>
      </c>
      <c r="K24" t="s">
        <v>98</v>
      </c>
      <c r="L24" t="s">
        <v>99</v>
      </c>
      <c r="M24" t="s">
        <v>100</v>
      </c>
      <c r="N24" t="s">
        <v>101</v>
      </c>
      <c r="O24" t="s">
        <v>102</v>
      </c>
      <c r="Q24" s="3" t="s">
        <v>78</v>
      </c>
      <c r="R24" s="3" t="s">
        <v>104</v>
      </c>
      <c r="S24" s="3" t="s">
        <v>105</v>
      </c>
      <c r="T24" s="3" t="s">
        <v>106</v>
      </c>
      <c r="V24"/>
      <c r="W24"/>
      <c r="X24"/>
      <c r="Y24"/>
      <c r="Z24"/>
      <c r="AA24"/>
      <c r="AB24"/>
      <c r="AC24"/>
      <c r="AD24"/>
    </row>
    <row r="25" spans="1:30" x14ac:dyDescent="0.25">
      <c r="A25" s="15"/>
      <c r="B25" s="17" t="s">
        <v>73</v>
      </c>
      <c r="C25">
        <v>24</v>
      </c>
      <c r="D25" s="9">
        <v>715</v>
      </c>
      <c r="E25" s="10">
        <v>82.5</v>
      </c>
      <c r="F25" s="10">
        <v>33</v>
      </c>
      <c r="G25" s="10">
        <v>0.5</v>
      </c>
      <c r="H25" s="10">
        <v>16</v>
      </c>
      <c r="I25" s="10">
        <v>105</v>
      </c>
      <c r="J25" s="10">
        <v>20</v>
      </c>
      <c r="K25" s="10">
        <v>5</v>
      </c>
      <c r="L25" s="10">
        <v>20.5</v>
      </c>
      <c r="M25" s="10">
        <v>26.5</v>
      </c>
      <c r="N25" s="10">
        <v>49.5</v>
      </c>
      <c r="O25">
        <v>79</v>
      </c>
      <c r="Q25" t="str" cm="1">
        <f t="array" ref="Q25:Q38">_xlfn._xlws.FILTER(Data!B:B,Data!AB:AB=C2)</f>
        <v>2014-15</v>
      </c>
      <c r="R25" s="11" cm="1">
        <f t="array" ref="R25:R38">(_xlfn._xlws.FILTER(Data!J:J,Data!AB:AB=Analysis!$C$2) - _xlfn._xlws.FILTER(Data!M:M,Data!AB:AB=Analysis!$C$2)) / (_xlfn._xlws.FILTER(Data!K:K,Data!AB:AB=Analysis!$C$2) - _xlfn._xlws.FILTER(Data!N:N,Data!AB:AB=Analysis!$C$2))</f>
        <v>0.48210526315789476</v>
      </c>
      <c r="S25" s="11" cm="1">
        <f t="array" ref="S25:S38">_xlfn._xlws.FILTER(Data!O:O,Data!AB:AB=Analysis!$C$2)</f>
        <v>0.314</v>
      </c>
      <c r="T25" s="11" cm="1">
        <f t="array" ref="T25:T38">_xlfn._xlws.FILTER(Data!R:R,Data!AB:AB=Analysis!$C$2)</f>
        <v>0.82899999999999996</v>
      </c>
      <c r="V25"/>
      <c r="W25"/>
      <c r="X25"/>
      <c r="Y25"/>
      <c r="Z25"/>
      <c r="AA25"/>
      <c r="AB25"/>
      <c r="AC25"/>
      <c r="AD25"/>
    </row>
    <row r="26" spans="1:30" x14ac:dyDescent="0.25">
      <c r="A26" s="15"/>
      <c r="B26" s="17" t="s">
        <v>57</v>
      </c>
      <c r="C26">
        <v>24</v>
      </c>
      <c r="D26" s="9">
        <v>591</v>
      </c>
      <c r="E26" s="10">
        <v>72</v>
      </c>
      <c r="F26" s="10">
        <v>26.5</v>
      </c>
      <c r="G26" s="10">
        <v>8.5</v>
      </c>
      <c r="H26" s="10">
        <v>10.5</v>
      </c>
      <c r="I26" s="10">
        <v>64</v>
      </c>
      <c r="J26" s="10">
        <v>31</v>
      </c>
      <c r="K26" s="10">
        <v>9.5</v>
      </c>
      <c r="L26" s="10">
        <v>2</v>
      </c>
      <c r="M26" s="10">
        <v>14</v>
      </c>
      <c r="N26" s="10">
        <v>30</v>
      </c>
      <c r="O26">
        <v>61</v>
      </c>
      <c r="Q26" t="str">
        <v>2015-16</v>
      </c>
      <c r="R26" s="11">
        <v>0.46786632390745503</v>
      </c>
      <c r="S26" s="11">
        <v>0.34699999999999998</v>
      </c>
      <c r="T26" s="11">
        <v>0.80400000000000005</v>
      </c>
      <c r="V26"/>
      <c r="W26"/>
      <c r="X26"/>
      <c r="Y26"/>
      <c r="Z26"/>
      <c r="AA26"/>
      <c r="AB26"/>
      <c r="AC26"/>
      <c r="AD26"/>
    </row>
    <row r="27" spans="1:30" x14ac:dyDescent="0.25">
      <c r="A27" s="15"/>
      <c r="B27" s="17" t="s">
        <v>64</v>
      </c>
      <c r="C27">
        <v>29</v>
      </c>
      <c r="D27" s="9">
        <v>16830</v>
      </c>
      <c r="E27" s="10">
        <v>1343.5</v>
      </c>
      <c r="F27" s="10">
        <v>491.25</v>
      </c>
      <c r="G27" s="10">
        <v>121.625</v>
      </c>
      <c r="H27" s="10">
        <v>239.375</v>
      </c>
      <c r="I27" s="10">
        <v>224.5</v>
      </c>
      <c r="J27" s="10">
        <v>369</v>
      </c>
      <c r="K27" s="10">
        <v>51</v>
      </c>
      <c r="L27" s="10">
        <v>7</v>
      </c>
      <c r="M27" s="10">
        <v>128.125</v>
      </c>
      <c r="N27" s="10">
        <v>133.125</v>
      </c>
      <c r="O27">
        <v>561</v>
      </c>
      <c r="Q27" t="str">
        <v>2016-17</v>
      </c>
      <c r="R27" s="11">
        <v>0.50349650349650354</v>
      </c>
      <c r="S27" s="11">
        <v>0.32900000000000001</v>
      </c>
      <c r="T27" s="11">
        <v>0.79800000000000004</v>
      </c>
      <c r="V27"/>
      <c r="W27"/>
      <c r="X27"/>
      <c r="Y27"/>
      <c r="Z27"/>
      <c r="AA27"/>
      <c r="AB27"/>
      <c r="AC27"/>
      <c r="AD27"/>
    </row>
    <row r="28" spans="1:30" x14ac:dyDescent="0.25">
      <c r="A28" s="15"/>
      <c r="B28" s="17" t="s">
        <v>66</v>
      </c>
      <c r="C28">
        <v>23</v>
      </c>
      <c r="D28" s="9">
        <v>5953</v>
      </c>
      <c r="E28" s="10">
        <v>401.33333333333331</v>
      </c>
      <c r="F28" s="10">
        <v>161.5</v>
      </c>
      <c r="G28" s="10">
        <v>25.5</v>
      </c>
      <c r="H28" s="10">
        <v>52.833333333333336</v>
      </c>
      <c r="I28" s="10">
        <v>222.83333333333334</v>
      </c>
      <c r="J28" s="10">
        <v>99.833333333333329</v>
      </c>
      <c r="K28" s="10">
        <v>30.666666666666668</v>
      </c>
      <c r="L28" s="10">
        <v>17.333333333333332</v>
      </c>
      <c r="M28" s="10">
        <v>60.5</v>
      </c>
      <c r="N28" s="10">
        <v>93.5</v>
      </c>
      <c r="O28">
        <v>272</v>
      </c>
      <c r="Q28" t="str">
        <v>2017-18</v>
      </c>
      <c r="R28" s="11">
        <v>0.50547045951859959</v>
      </c>
      <c r="S28" s="11">
        <v>0.32400000000000001</v>
      </c>
      <c r="T28" s="11">
        <v>0.79500000000000004</v>
      </c>
      <c r="V28"/>
      <c r="W28"/>
      <c r="X28"/>
      <c r="Y28"/>
      <c r="Z28"/>
      <c r="AA28"/>
      <c r="AB28"/>
      <c r="AC28"/>
      <c r="AD28"/>
    </row>
    <row r="29" spans="1:30" x14ac:dyDescent="0.25">
      <c r="A29" s="15"/>
      <c r="B29" s="17" t="s">
        <v>56</v>
      </c>
      <c r="C29">
        <v>34</v>
      </c>
      <c r="D29" s="9">
        <v>25695</v>
      </c>
      <c r="E29" s="10">
        <v>928.3125</v>
      </c>
      <c r="F29" s="10">
        <v>347</v>
      </c>
      <c r="G29" s="10">
        <v>108.5</v>
      </c>
      <c r="H29" s="10">
        <v>125.8125</v>
      </c>
      <c r="I29" s="10">
        <v>190.875</v>
      </c>
      <c r="J29" s="10">
        <v>166.5</v>
      </c>
      <c r="K29" s="10">
        <v>46.75</v>
      </c>
      <c r="L29" s="10">
        <v>9.1875</v>
      </c>
      <c r="M29" s="10">
        <v>106.4375</v>
      </c>
      <c r="N29" s="10">
        <v>100.25</v>
      </c>
      <c r="O29">
        <v>977</v>
      </c>
      <c r="Q29" t="str">
        <v>2017-18</v>
      </c>
      <c r="R29" s="11">
        <v>0.48603351955307261</v>
      </c>
      <c r="S29" s="11">
        <v>0.40699999999999997</v>
      </c>
      <c r="T29" s="11">
        <v>0.81</v>
      </c>
      <c r="V29"/>
      <c r="W29"/>
      <c r="X29"/>
      <c r="Y29"/>
      <c r="Z29"/>
      <c r="AA29"/>
      <c r="AB29"/>
      <c r="AC29"/>
      <c r="AD29"/>
    </row>
    <row r="30" spans="1:30" x14ac:dyDescent="0.25">
      <c r="A30" s="15"/>
      <c r="B30" s="17" t="s">
        <v>61</v>
      </c>
      <c r="C30">
        <v>28</v>
      </c>
      <c r="D30" s="9">
        <v>7278</v>
      </c>
      <c r="E30" s="10">
        <v>410.85714285714283</v>
      </c>
      <c r="F30" s="10">
        <v>150.28571428571428</v>
      </c>
      <c r="G30" s="10">
        <v>72.285714285714292</v>
      </c>
      <c r="H30" s="10">
        <v>38</v>
      </c>
      <c r="I30" s="10">
        <v>121</v>
      </c>
      <c r="J30" s="10">
        <v>168.85714285714286</v>
      </c>
      <c r="K30" s="10">
        <v>57.571428571428569</v>
      </c>
      <c r="L30" s="10">
        <v>8.8571428571428577</v>
      </c>
      <c r="M30" s="10">
        <v>57.285714285714285</v>
      </c>
      <c r="N30" s="10">
        <v>90.857142857142861</v>
      </c>
      <c r="O30">
        <v>365</v>
      </c>
      <c r="Q30" t="str">
        <v>2018-19</v>
      </c>
      <c r="R30" s="11">
        <v>0.52380952380952384</v>
      </c>
      <c r="S30" s="11">
        <v>0.32400000000000001</v>
      </c>
      <c r="T30" s="11">
        <v>0.84399999999999997</v>
      </c>
      <c r="V30"/>
      <c r="W30"/>
      <c r="X30"/>
      <c r="Y30"/>
      <c r="Z30"/>
      <c r="AA30"/>
      <c r="AB30"/>
      <c r="AC30"/>
      <c r="AD30"/>
    </row>
    <row r="31" spans="1:30" x14ac:dyDescent="0.25">
      <c r="A31" s="15"/>
      <c r="B31" s="17" t="s">
        <v>59</v>
      </c>
      <c r="C31">
        <v>31</v>
      </c>
      <c r="D31" s="9">
        <v>22369</v>
      </c>
      <c r="E31" s="10">
        <v>601.15384615384619</v>
      </c>
      <c r="F31" s="10">
        <v>220.38461538461539</v>
      </c>
      <c r="G31" s="10">
        <v>68.15384615384616</v>
      </c>
      <c r="H31" s="10">
        <v>92.230769230769226</v>
      </c>
      <c r="I31" s="10">
        <v>397.92307692307691</v>
      </c>
      <c r="J31" s="10">
        <v>193.76923076923077</v>
      </c>
      <c r="K31" s="10">
        <v>59.92307692307692</v>
      </c>
      <c r="L31" s="10">
        <v>17.384615384615383</v>
      </c>
      <c r="M31" s="10">
        <v>84.230769230769226</v>
      </c>
      <c r="N31" s="10">
        <v>134.76923076923077</v>
      </c>
      <c r="O31">
        <v>726</v>
      </c>
      <c r="Q31" t="str">
        <v>2019-20</v>
      </c>
      <c r="R31" s="11">
        <v>0.50898203592814373</v>
      </c>
      <c r="S31" s="11">
        <v>0.371</v>
      </c>
      <c r="T31" s="11">
        <v>0.88400000000000001</v>
      </c>
      <c r="V31"/>
      <c r="W31"/>
      <c r="X31"/>
      <c r="Y31"/>
      <c r="Z31"/>
      <c r="AA31"/>
      <c r="AB31"/>
      <c r="AC31"/>
      <c r="AD31"/>
    </row>
    <row r="32" spans="1:30" x14ac:dyDescent="0.25">
      <c r="A32" s="15"/>
      <c r="B32" s="17" t="s">
        <v>69</v>
      </c>
      <c r="C32">
        <v>30</v>
      </c>
      <c r="D32" s="9">
        <v>24293</v>
      </c>
      <c r="E32" s="10">
        <v>1489.4545454545455</v>
      </c>
      <c r="F32" s="10">
        <v>543.36363636363637</v>
      </c>
      <c r="G32" s="10">
        <v>111.81818181818181</v>
      </c>
      <c r="H32" s="10">
        <v>290.90909090909093</v>
      </c>
      <c r="I32" s="10">
        <v>729.5454545454545</v>
      </c>
      <c r="J32" s="10">
        <v>205.72727272727272</v>
      </c>
      <c r="K32" s="10">
        <v>53.454545454545453</v>
      </c>
      <c r="L32" s="10">
        <v>73.727272727272734</v>
      </c>
      <c r="M32" s="10">
        <v>175.63636363636363</v>
      </c>
      <c r="N32" s="10">
        <v>222.90909090909091</v>
      </c>
      <c r="O32">
        <v>720</v>
      </c>
      <c r="Q32" t="str">
        <v>2019-20</v>
      </c>
      <c r="R32" s="11">
        <v>0.54703832752613235</v>
      </c>
      <c r="S32" s="11">
        <v>0.36599999999999999</v>
      </c>
      <c r="T32" s="11">
        <v>0.78500000000000003</v>
      </c>
      <c r="V32"/>
      <c r="W32"/>
      <c r="X32"/>
      <c r="Y32"/>
      <c r="Z32"/>
      <c r="AA32"/>
      <c r="AB32"/>
      <c r="AC32"/>
      <c r="AD32"/>
    </row>
    <row r="33" spans="1:30" x14ac:dyDescent="0.25">
      <c r="A33" s="15"/>
      <c r="B33" s="17" t="s">
        <v>63</v>
      </c>
      <c r="C33">
        <v>25</v>
      </c>
      <c r="D33" s="9">
        <v>184</v>
      </c>
      <c r="E33" s="10">
        <v>28</v>
      </c>
      <c r="F33" s="10">
        <v>11</v>
      </c>
      <c r="G33" s="10">
        <v>4</v>
      </c>
      <c r="H33" s="10">
        <v>2</v>
      </c>
      <c r="I33" s="10">
        <v>18</v>
      </c>
      <c r="J33" s="10">
        <v>11</v>
      </c>
      <c r="K33" s="10">
        <v>5</v>
      </c>
      <c r="L33" s="10">
        <v>0.5</v>
      </c>
      <c r="M33" s="10">
        <v>6</v>
      </c>
      <c r="N33" s="10">
        <v>14</v>
      </c>
      <c r="O33">
        <v>25</v>
      </c>
      <c r="Q33" t="str">
        <v>2020-21</v>
      </c>
      <c r="R33" s="11">
        <v>0.52310924369747902</v>
      </c>
      <c r="S33" s="11">
        <v>0.34699999999999998</v>
      </c>
      <c r="T33" s="11">
        <v>0.89600000000000002</v>
      </c>
      <c r="V33"/>
      <c r="W33"/>
      <c r="X33"/>
      <c r="Y33"/>
      <c r="Z33"/>
      <c r="AA33"/>
      <c r="AB33"/>
      <c r="AC33"/>
      <c r="AD33"/>
    </row>
    <row r="34" spans="1:30" x14ac:dyDescent="0.25">
      <c r="A34" s="15"/>
      <c r="B34" s="17" t="s">
        <v>70</v>
      </c>
      <c r="C34">
        <v>29</v>
      </c>
      <c r="D34" s="9">
        <v>11363</v>
      </c>
      <c r="E34" s="10">
        <v>451</v>
      </c>
      <c r="F34" s="10">
        <v>151.1</v>
      </c>
      <c r="G34" s="10">
        <v>99</v>
      </c>
      <c r="H34" s="10">
        <v>49.8</v>
      </c>
      <c r="I34" s="10">
        <v>88.8</v>
      </c>
      <c r="J34" s="10">
        <v>78.599999999999994</v>
      </c>
      <c r="K34" s="10">
        <v>25.8</v>
      </c>
      <c r="L34" s="10">
        <v>7.5</v>
      </c>
      <c r="M34" s="10">
        <v>33.9</v>
      </c>
      <c r="N34" s="10">
        <v>90.3</v>
      </c>
      <c r="O34">
        <v>528</v>
      </c>
      <c r="Q34" t="str">
        <v>2021-22</v>
      </c>
      <c r="R34" s="11">
        <v>0.53488372093023251</v>
      </c>
      <c r="S34" s="11">
        <v>0.318</v>
      </c>
      <c r="T34" s="11">
        <v>0.82799999999999996</v>
      </c>
      <c r="V34"/>
      <c r="W34"/>
      <c r="X34"/>
      <c r="Y34"/>
      <c r="Z34"/>
      <c r="AA34"/>
      <c r="AB34"/>
      <c r="AC34"/>
      <c r="AD34"/>
    </row>
    <row r="35" spans="1:30" x14ac:dyDescent="0.25">
      <c r="A35" s="15"/>
      <c r="B35" s="17" t="s">
        <v>68</v>
      </c>
      <c r="C35">
        <v>29</v>
      </c>
      <c r="D35" s="9">
        <v>24169</v>
      </c>
      <c r="E35" s="10">
        <v>1105.5999999999999</v>
      </c>
      <c r="F35" s="10">
        <v>412.4</v>
      </c>
      <c r="G35" s="10">
        <v>130.19999999999999</v>
      </c>
      <c r="H35" s="10">
        <v>150.6</v>
      </c>
      <c r="I35" s="10">
        <v>288.3</v>
      </c>
      <c r="J35" s="10">
        <v>209.4</v>
      </c>
      <c r="K35" s="10">
        <v>84.8</v>
      </c>
      <c r="L35" s="10">
        <v>44</v>
      </c>
      <c r="M35" s="10">
        <v>90.1</v>
      </c>
      <c r="N35" s="10">
        <v>135.1</v>
      </c>
      <c r="O35">
        <v>721</v>
      </c>
      <c r="Q35" t="str">
        <v>2022-23</v>
      </c>
      <c r="R35" s="11">
        <v>0.52972027972027969</v>
      </c>
      <c r="S35" s="11">
        <v>0.33800000000000002</v>
      </c>
      <c r="T35" s="11">
        <v>0.81599999999999995</v>
      </c>
      <c r="V35"/>
      <c r="W35"/>
      <c r="X35"/>
      <c r="Y35"/>
      <c r="Z35"/>
      <c r="AA35"/>
      <c r="AB35"/>
      <c r="AC35"/>
      <c r="AD35"/>
    </row>
    <row r="36" spans="1:30" x14ac:dyDescent="0.25">
      <c r="A36" s="15"/>
      <c r="B36" s="17" t="s">
        <v>58</v>
      </c>
      <c r="C36">
        <v>25</v>
      </c>
      <c r="D36" s="9">
        <v>5133</v>
      </c>
      <c r="E36" s="10">
        <v>395</v>
      </c>
      <c r="F36" s="10">
        <v>141.4</v>
      </c>
      <c r="G36" s="10">
        <v>78.599999999999994</v>
      </c>
      <c r="H36" s="10">
        <v>33.6</v>
      </c>
      <c r="I36" s="10">
        <v>90.6</v>
      </c>
      <c r="J36" s="10">
        <v>104</v>
      </c>
      <c r="K36" s="10">
        <v>40.6</v>
      </c>
      <c r="L36" s="10">
        <v>8.4</v>
      </c>
      <c r="M36" s="10">
        <v>26.8</v>
      </c>
      <c r="N36" s="10">
        <v>78.2</v>
      </c>
      <c r="O36">
        <v>277</v>
      </c>
      <c r="Q36" t="str">
        <v>2023-24</v>
      </c>
      <c r="R36" s="11">
        <v>0.48520710059171596</v>
      </c>
      <c r="S36" s="11">
        <v>0.29399999999999998</v>
      </c>
      <c r="T36" s="11">
        <v>0.88100000000000001</v>
      </c>
      <c r="V36"/>
      <c r="W36"/>
      <c r="X36"/>
      <c r="Y36"/>
      <c r="Z36"/>
      <c r="AA36"/>
      <c r="AB36"/>
      <c r="AC36"/>
      <c r="AD36"/>
    </row>
    <row r="37" spans="1:30" x14ac:dyDescent="0.25">
      <c r="A37" s="15"/>
      <c r="B37" s="17" t="s">
        <v>67</v>
      </c>
      <c r="C37">
        <v>28</v>
      </c>
      <c r="D37" s="9">
        <v>9295</v>
      </c>
      <c r="E37" s="10">
        <v>372</v>
      </c>
      <c r="F37" s="10">
        <v>159.75</v>
      </c>
      <c r="G37" s="10">
        <v>0</v>
      </c>
      <c r="H37" s="10">
        <v>52.5</v>
      </c>
      <c r="I37" s="10">
        <v>395.5</v>
      </c>
      <c r="J37" s="10">
        <v>33</v>
      </c>
      <c r="K37" s="10">
        <v>45.25</v>
      </c>
      <c r="L37" s="10">
        <v>86.25</v>
      </c>
      <c r="M37" s="10">
        <v>34.375</v>
      </c>
      <c r="N37" s="10">
        <v>132.5</v>
      </c>
      <c r="O37">
        <v>397</v>
      </c>
      <c r="Q37" t="str">
        <v>2024-25</v>
      </c>
      <c r="R37" s="11">
        <v>0.44827586206896552</v>
      </c>
      <c r="S37" s="11">
        <v>0.36199999999999999</v>
      </c>
      <c r="T37" s="11">
        <v>0.79700000000000004</v>
      </c>
      <c r="V37"/>
      <c r="W37"/>
      <c r="X37"/>
      <c r="Y37"/>
      <c r="Z37"/>
      <c r="AA37"/>
      <c r="AB37"/>
      <c r="AC37"/>
      <c r="AD37"/>
    </row>
    <row r="38" spans="1:30" x14ac:dyDescent="0.25">
      <c r="A38" s="15"/>
      <c r="B38" s="17" t="s">
        <v>72</v>
      </c>
      <c r="C38">
        <v>21</v>
      </c>
      <c r="D38" s="9">
        <v>634</v>
      </c>
      <c r="E38" s="10">
        <v>246</v>
      </c>
      <c r="F38" s="10">
        <v>90</v>
      </c>
      <c r="G38" s="10">
        <v>48</v>
      </c>
      <c r="H38" s="10">
        <v>18</v>
      </c>
      <c r="I38" s="10">
        <v>94</v>
      </c>
      <c r="J38" s="10">
        <v>53</v>
      </c>
      <c r="K38" s="10">
        <v>17</v>
      </c>
      <c r="L38" s="10">
        <v>6</v>
      </c>
      <c r="M38" s="10">
        <v>30</v>
      </c>
      <c r="N38" s="10">
        <v>50</v>
      </c>
      <c r="O38">
        <v>69</v>
      </c>
      <c r="Q38" t="str">
        <v>2025-26</v>
      </c>
      <c r="R38" s="11">
        <v>0.53525641025641024</v>
      </c>
      <c r="S38" s="11">
        <v>0.32700000000000001</v>
      </c>
      <c r="T38" s="11">
        <v>0.83</v>
      </c>
      <c r="V38"/>
      <c r="W38"/>
      <c r="X38"/>
      <c r="Y38"/>
      <c r="Z38"/>
      <c r="AA38"/>
      <c r="AB38"/>
      <c r="AC38"/>
      <c r="AD38"/>
    </row>
    <row r="39" spans="1:30" x14ac:dyDescent="0.25">
      <c r="A39" s="15"/>
      <c r="B39" s="17" t="s">
        <v>62</v>
      </c>
      <c r="C39">
        <v>28</v>
      </c>
      <c r="D39" s="9">
        <v>18780</v>
      </c>
      <c r="E39" s="10">
        <v>744</v>
      </c>
      <c r="F39" s="10">
        <v>277.54545454545456</v>
      </c>
      <c r="G39" s="10">
        <v>102</v>
      </c>
      <c r="H39" s="10">
        <v>86.909090909090907</v>
      </c>
      <c r="I39" s="10">
        <v>245.72727272727272</v>
      </c>
      <c r="J39" s="10">
        <v>98.454545454545453</v>
      </c>
      <c r="K39" s="10">
        <v>73.545454545454547</v>
      </c>
      <c r="L39" s="10">
        <v>33.909090909090907</v>
      </c>
      <c r="M39" s="10">
        <v>77.545454545454547</v>
      </c>
      <c r="N39" s="10">
        <v>132.36363636363637</v>
      </c>
      <c r="O39">
        <v>609</v>
      </c>
      <c r="V39"/>
      <c r="W39"/>
      <c r="X39"/>
      <c r="Y39"/>
      <c r="Z39"/>
      <c r="AA39"/>
      <c r="AB39"/>
      <c r="AC39"/>
      <c r="AD39"/>
    </row>
    <row r="40" spans="1:30" x14ac:dyDescent="0.25">
      <c r="A40" s="15"/>
      <c r="B40" s="17" t="s">
        <v>60</v>
      </c>
      <c r="C40">
        <v>20</v>
      </c>
      <c r="D40" s="9">
        <v>247</v>
      </c>
      <c r="E40" s="10">
        <v>39</v>
      </c>
      <c r="F40" s="10">
        <v>13</v>
      </c>
      <c r="G40" s="10">
        <v>6.5</v>
      </c>
      <c r="H40" s="10">
        <v>6.5</v>
      </c>
      <c r="I40" s="10">
        <v>22.5</v>
      </c>
      <c r="J40" s="10">
        <v>8.5</v>
      </c>
      <c r="K40" s="10">
        <v>3</v>
      </c>
      <c r="L40" s="10">
        <v>1.5</v>
      </c>
      <c r="M40" s="10">
        <v>3.5</v>
      </c>
      <c r="N40" s="10">
        <v>7.5</v>
      </c>
      <c r="O40">
        <v>47</v>
      </c>
      <c r="V40"/>
      <c r="W40"/>
      <c r="X40"/>
      <c r="Y40"/>
      <c r="Z40"/>
      <c r="AA40"/>
      <c r="AB40"/>
      <c r="AC40"/>
      <c r="AD40"/>
    </row>
    <row r="41" spans="1:30" s="15" customFormat="1" x14ac:dyDescent="0.25">
      <c r="B41" s="17" t="s">
        <v>71</v>
      </c>
      <c r="C41">
        <v>26</v>
      </c>
      <c r="D41" s="9">
        <v>2014</v>
      </c>
      <c r="E41" s="10">
        <v>77.857142857142861</v>
      </c>
      <c r="F41" s="10">
        <v>34</v>
      </c>
      <c r="G41" s="10">
        <v>0</v>
      </c>
      <c r="H41" s="10">
        <v>9.8571428571428577</v>
      </c>
      <c r="I41" s="10">
        <v>70.857142857142861</v>
      </c>
      <c r="J41" s="10">
        <v>13</v>
      </c>
      <c r="K41" s="10">
        <v>6.1428571428571432</v>
      </c>
      <c r="L41" s="10">
        <v>12.571428571428571</v>
      </c>
      <c r="M41" s="10">
        <v>18</v>
      </c>
      <c r="N41" s="10">
        <v>41</v>
      </c>
      <c r="O41">
        <v>139</v>
      </c>
    </row>
    <row r="42" spans="1:30" s="15" customFormat="1" x14ac:dyDescent="0.25">
      <c r="B42" s="17" t="s">
        <v>65</v>
      </c>
      <c r="C42">
        <v>25</v>
      </c>
      <c r="D42" s="9">
        <v>1023</v>
      </c>
      <c r="E42" s="10">
        <v>177.5</v>
      </c>
      <c r="F42" s="10">
        <v>67.5</v>
      </c>
      <c r="G42" s="10">
        <v>29</v>
      </c>
      <c r="H42" s="10">
        <v>13.5</v>
      </c>
      <c r="I42" s="10">
        <v>62.5</v>
      </c>
      <c r="J42" s="10">
        <v>120</v>
      </c>
      <c r="K42" s="10">
        <v>17</v>
      </c>
      <c r="L42" s="10">
        <v>4</v>
      </c>
      <c r="M42" s="10">
        <v>36.5</v>
      </c>
      <c r="N42" s="10">
        <v>45.5</v>
      </c>
      <c r="O42">
        <v>103</v>
      </c>
    </row>
    <row r="43" spans="1:30" s="15" customFormat="1" x14ac:dyDescent="0.25">
      <c r="B43" t="s">
        <v>74</v>
      </c>
      <c r="C43">
        <v>34</v>
      </c>
      <c r="D43" s="9">
        <v>176566</v>
      </c>
      <c r="E43" s="10">
        <v>694.09756097560978</v>
      </c>
      <c r="F43" s="10">
        <v>257.30081300813009</v>
      </c>
      <c r="G43" s="10">
        <v>76.715447154471548</v>
      </c>
      <c r="H43" s="10">
        <v>102.78048780487805</v>
      </c>
      <c r="I43" s="10">
        <v>255.7479674796748</v>
      </c>
      <c r="J43" s="10">
        <v>141.8780487804878</v>
      </c>
      <c r="K43" s="10">
        <v>46.577235772357724</v>
      </c>
      <c r="L43" s="10">
        <v>25.829268292682926</v>
      </c>
      <c r="M43" s="10">
        <v>76.016260162601625</v>
      </c>
      <c r="N43" s="10">
        <v>112.6910569105691</v>
      </c>
      <c r="O43">
        <v>6676</v>
      </c>
    </row>
    <row r="44" spans="1:30" x14ac:dyDescent="0.25">
      <c r="A44" s="15"/>
    </row>
    <row r="45" spans="1:30" x14ac:dyDescent="0.25">
      <c r="A45" s="15"/>
    </row>
  </sheetData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39A3BE-EF80-41DB-8AD5-79C466473335}">
          <x14:formula1>
            <xm:f>Data!$AF$7:$AF$24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9281-4348-492B-8680-33A3BCCC6664}">
  <sheetPr codeName="Sheet1"/>
  <dimension ref="A1:AS113"/>
  <sheetViews>
    <sheetView workbookViewId="0">
      <selection activeCell="B6" sqref="B6"/>
    </sheetView>
  </sheetViews>
  <sheetFormatPr defaultRowHeight="15" x14ac:dyDescent="0.25"/>
  <cols>
    <col min="1" max="1" width="13" bestFit="1" customWidth="1"/>
    <col min="2" max="2" width="13.5703125" bestFit="1" customWidth="1"/>
    <col min="3" max="3" width="13.28515625" bestFit="1" customWidth="1"/>
    <col min="4" max="4" width="11" bestFit="1" customWidth="1"/>
    <col min="5" max="5" width="22.42578125" bestFit="1" customWidth="1"/>
    <col min="6" max="6" width="14.7109375" bestFit="1" customWidth="1"/>
    <col min="7" max="8" width="5.85546875" bestFit="1" customWidth="1"/>
    <col min="9" max="9" width="6.85546875" bestFit="1" customWidth="1"/>
    <col min="10" max="10" width="7.28515625" bestFit="1" customWidth="1"/>
    <col min="11" max="11" width="6.85546875" bestFit="1" customWidth="1"/>
    <col min="12" max="12" width="10.140625" bestFit="1" customWidth="1"/>
    <col min="13" max="13" width="8.28515625" bestFit="1" customWidth="1"/>
    <col min="14" max="14" width="7.85546875" bestFit="1" customWidth="1"/>
    <col min="15" max="15" width="11.140625" bestFit="1" customWidth="1"/>
    <col min="16" max="16" width="6.85546875" bestFit="1" customWidth="1"/>
    <col min="17" max="17" width="6.42578125" bestFit="1" customWidth="1"/>
    <col min="18" max="18" width="9.7109375" bestFit="1" customWidth="1"/>
    <col min="19" max="20" width="8.28515625" bestFit="1" customWidth="1"/>
    <col min="21" max="21" width="6.85546875" bestFit="1" customWidth="1"/>
    <col min="22" max="22" width="6.5703125" bestFit="1" customWidth="1"/>
    <col min="23" max="23" width="6.42578125" bestFit="1" customWidth="1"/>
    <col min="24" max="24" width="6.5703125" bestFit="1" customWidth="1"/>
    <col min="25" max="25" width="6.85546875" bestFit="1" customWidth="1"/>
    <col min="26" max="26" width="5.42578125" bestFit="1" customWidth="1"/>
    <col min="27" max="27" width="6.5703125" bestFit="1" customWidth="1"/>
    <col min="28" max="28" width="18.85546875" bestFit="1" customWidth="1"/>
    <col min="35" max="35" width="18.85546875" bestFit="1" customWidth="1"/>
    <col min="36" max="38" width="11" bestFit="1" customWidth="1"/>
    <col min="39" max="91" width="19" bestFit="1" customWidth="1"/>
    <col min="92" max="92" width="16" bestFit="1" customWidth="1"/>
    <col min="93" max="93" width="16.28515625" bestFit="1" customWidth="1"/>
    <col min="94" max="94" width="16" bestFit="1" customWidth="1"/>
    <col min="95" max="154" width="7.28515625" bestFit="1" customWidth="1"/>
    <col min="155" max="155" width="11.28515625" bestFit="1" customWidth="1"/>
    <col min="156" max="156" width="7.28515625" bestFit="1" customWidth="1"/>
    <col min="157" max="157" width="11.28515625" bestFit="1" customWidth="1"/>
  </cols>
  <sheetData>
    <row r="1" spans="1:37" x14ac:dyDescent="0.25">
      <c r="A1" t="s">
        <v>108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54</v>
      </c>
    </row>
    <row r="2" spans="1:37" x14ac:dyDescent="0.25">
      <c r="A2">
        <v>203903</v>
      </c>
      <c r="B2" t="s">
        <v>26</v>
      </c>
      <c r="C2">
        <v>0</v>
      </c>
      <c r="D2">
        <v>1610612747</v>
      </c>
      <c r="E2" t="s">
        <v>27</v>
      </c>
      <c r="F2">
        <v>23</v>
      </c>
      <c r="G2">
        <v>59</v>
      </c>
      <c r="H2">
        <v>38</v>
      </c>
      <c r="I2">
        <v>1476</v>
      </c>
      <c r="J2">
        <v>267</v>
      </c>
      <c r="K2">
        <v>596</v>
      </c>
      <c r="L2">
        <v>0.44800000000000001</v>
      </c>
      <c r="M2">
        <v>38</v>
      </c>
      <c r="N2">
        <v>121</v>
      </c>
      <c r="O2">
        <v>0.314</v>
      </c>
      <c r="P2">
        <v>131</v>
      </c>
      <c r="Q2">
        <v>158</v>
      </c>
      <c r="R2">
        <v>0.82899999999999996</v>
      </c>
      <c r="S2">
        <v>56</v>
      </c>
      <c r="T2">
        <v>135</v>
      </c>
      <c r="U2">
        <v>191</v>
      </c>
      <c r="V2">
        <v>206</v>
      </c>
      <c r="W2">
        <v>51</v>
      </c>
      <c r="X2">
        <v>12</v>
      </c>
      <c r="Y2">
        <v>96</v>
      </c>
      <c r="Z2">
        <v>109</v>
      </c>
      <c r="AA2">
        <v>703</v>
      </c>
      <c r="AB2" t="str">
        <f t="shared" ref="AB2:AB33" si="0">_xlfn.XLOOKUP(A2,$AE$7:$AE$24,$AF$7:$AF$24,"???")</f>
        <v>Jordan Clarkson</v>
      </c>
    </row>
    <row r="3" spans="1:37" x14ac:dyDescent="0.25">
      <c r="A3">
        <v>203903</v>
      </c>
      <c r="B3" t="s">
        <v>28</v>
      </c>
      <c r="C3">
        <v>0</v>
      </c>
      <c r="D3">
        <v>1610612747</v>
      </c>
      <c r="E3" t="s">
        <v>27</v>
      </c>
      <c r="F3">
        <v>24</v>
      </c>
      <c r="G3">
        <v>79</v>
      </c>
      <c r="H3">
        <v>79</v>
      </c>
      <c r="I3">
        <v>2552</v>
      </c>
      <c r="J3">
        <v>475</v>
      </c>
      <c r="K3">
        <v>1098</v>
      </c>
      <c r="L3">
        <v>0.433</v>
      </c>
      <c r="M3">
        <v>111</v>
      </c>
      <c r="N3">
        <v>320</v>
      </c>
      <c r="O3">
        <v>0.34699999999999998</v>
      </c>
      <c r="P3">
        <v>164</v>
      </c>
      <c r="Q3">
        <v>204</v>
      </c>
      <c r="R3">
        <v>0.80400000000000005</v>
      </c>
      <c r="S3">
        <v>93</v>
      </c>
      <c r="T3">
        <v>220</v>
      </c>
      <c r="U3">
        <v>313</v>
      </c>
      <c r="V3">
        <v>192</v>
      </c>
      <c r="W3">
        <v>88</v>
      </c>
      <c r="X3">
        <v>7</v>
      </c>
      <c r="Y3">
        <v>135</v>
      </c>
      <c r="Z3">
        <v>168</v>
      </c>
      <c r="AA3">
        <v>1225</v>
      </c>
      <c r="AB3" t="str">
        <f t="shared" si="0"/>
        <v>Jordan Clarkson</v>
      </c>
    </row>
    <row r="4" spans="1:37" x14ac:dyDescent="0.25">
      <c r="A4">
        <v>203903</v>
      </c>
      <c r="B4" t="s">
        <v>29</v>
      </c>
      <c r="C4">
        <v>0</v>
      </c>
      <c r="D4">
        <v>1610612747</v>
      </c>
      <c r="E4" t="s">
        <v>27</v>
      </c>
      <c r="F4">
        <v>25</v>
      </c>
      <c r="G4">
        <v>82</v>
      </c>
      <c r="H4">
        <v>19</v>
      </c>
      <c r="I4">
        <v>2397</v>
      </c>
      <c r="J4">
        <v>477</v>
      </c>
      <c r="K4">
        <v>1071</v>
      </c>
      <c r="L4">
        <v>0.44500000000000001</v>
      </c>
      <c r="M4">
        <v>117</v>
      </c>
      <c r="N4">
        <v>356</v>
      </c>
      <c r="O4">
        <v>0.32900000000000001</v>
      </c>
      <c r="P4">
        <v>134</v>
      </c>
      <c r="Q4">
        <v>168</v>
      </c>
      <c r="R4">
        <v>0.79800000000000004</v>
      </c>
      <c r="S4">
        <v>49</v>
      </c>
      <c r="T4">
        <v>197</v>
      </c>
      <c r="U4">
        <v>246</v>
      </c>
      <c r="V4">
        <v>213</v>
      </c>
      <c r="W4">
        <v>88</v>
      </c>
      <c r="X4">
        <v>8</v>
      </c>
      <c r="Y4">
        <v>164</v>
      </c>
      <c r="Z4">
        <v>150</v>
      </c>
      <c r="AA4">
        <v>1205</v>
      </c>
      <c r="AB4" t="str">
        <f t="shared" si="0"/>
        <v>Jordan Clarkson</v>
      </c>
      <c r="AI4" s="1" t="s">
        <v>0</v>
      </c>
      <c r="AJ4" t="s">
        <v>36</v>
      </c>
    </row>
    <row r="5" spans="1:37" x14ac:dyDescent="0.25">
      <c r="A5">
        <v>203903</v>
      </c>
      <c r="B5" t="s">
        <v>30</v>
      </c>
      <c r="C5">
        <v>0</v>
      </c>
      <c r="D5">
        <v>1610612747</v>
      </c>
      <c r="E5" t="s">
        <v>27</v>
      </c>
      <c r="F5">
        <v>26</v>
      </c>
      <c r="G5">
        <v>53</v>
      </c>
      <c r="H5">
        <v>2</v>
      </c>
      <c r="I5">
        <v>1256</v>
      </c>
      <c r="J5">
        <v>299</v>
      </c>
      <c r="K5">
        <v>667</v>
      </c>
      <c r="L5">
        <v>0.44800000000000001</v>
      </c>
      <c r="M5">
        <v>68</v>
      </c>
      <c r="N5">
        <v>210</v>
      </c>
      <c r="O5">
        <v>0.32400000000000001</v>
      </c>
      <c r="P5">
        <v>105</v>
      </c>
      <c r="Q5">
        <v>132</v>
      </c>
      <c r="R5">
        <v>0.79500000000000004</v>
      </c>
      <c r="S5">
        <v>44</v>
      </c>
      <c r="T5">
        <v>115</v>
      </c>
      <c r="U5">
        <v>159</v>
      </c>
      <c r="V5">
        <v>173</v>
      </c>
      <c r="W5">
        <v>39</v>
      </c>
      <c r="X5">
        <v>3</v>
      </c>
      <c r="Y5">
        <v>95</v>
      </c>
      <c r="Z5">
        <v>63</v>
      </c>
      <c r="AA5">
        <v>771</v>
      </c>
      <c r="AB5" t="str">
        <f t="shared" si="0"/>
        <v>Jordan Clarkson</v>
      </c>
    </row>
    <row r="6" spans="1:37" x14ac:dyDescent="0.25">
      <c r="A6">
        <v>203903</v>
      </c>
      <c r="B6" t="s">
        <v>30</v>
      </c>
      <c r="C6">
        <v>0</v>
      </c>
      <c r="D6">
        <v>1610612739</v>
      </c>
      <c r="E6" t="s">
        <v>31</v>
      </c>
      <c r="F6">
        <v>26</v>
      </c>
      <c r="G6">
        <v>28</v>
      </c>
      <c r="H6">
        <v>0</v>
      </c>
      <c r="I6">
        <v>632</v>
      </c>
      <c r="J6">
        <v>131</v>
      </c>
      <c r="K6">
        <v>287</v>
      </c>
      <c r="L6">
        <v>0.45600000000000002</v>
      </c>
      <c r="M6">
        <v>44</v>
      </c>
      <c r="N6">
        <v>108</v>
      </c>
      <c r="O6">
        <v>0.40699999999999997</v>
      </c>
      <c r="P6">
        <v>47</v>
      </c>
      <c r="Q6">
        <v>58</v>
      </c>
      <c r="R6">
        <v>0.81</v>
      </c>
      <c r="S6">
        <v>13</v>
      </c>
      <c r="T6">
        <v>45</v>
      </c>
      <c r="U6">
        <v>58</v>
      </c>
      <c r="V6">
        <v>48</v>
      </c>
      <c r="W6">
        <v>19</v>
      </c>
      <c r="X6">
        <v>3</v>
      </c>
      <c r="Y6">
        <v>32</v>
      </c>
      <c r="Z6">
        <v>44</v>
      </c>
      <c r="AA6">
        <v>353</v>
      </c>
      <c r="AB6" t="str">
        <f t="shared" si="0"/>
        <v>Jordan Clarkson</v>
      </c>
      <c r="AE6" t="s">
        <v>55</v>
      </c>
      <c r="AF6" t="s">
        <v>54</v>
      </c>
      <c r="AI6" s="1" t="s">
        <v>54</v>
      </c>
      <c r="AJ6" t="s">
        <v>75</v>
      </c>
      <c r="AK6" t="s">
        <v>76</v>
      </c>
    </row>
    <row r="7" spans="1:37" x14ac:dyDescent="0.25">
      <c r="A7">
        <v>203903</v>
      </c>
      <c r="B7" t="s">
        <v>32</v>
      </c>
      <c r="C7">
        <v>0</v>
      </c>
      <c r="D7">
        <v>1610612739</v>
      </c>
      <c r="E7" t="s">
        <v>31</v>
      </c>
      <c r="F7">
        <v>27</v>
      </c>
      <c r="G7">
        <v>81</v>
      </c>
      <c r="H7">
        <v>0</v>
      </c>
      <c r="I7">
        <v>2215</v>
      </c>
      <c r="J7">
        <v>529</v>
      </c>
      <c r="K7">
        <v>1180</v>
      </c>
      <c r="L7">
        <v>0.44800000000000001</v>
      </c>
      <c r="M7">
        <v>144</v>
      </c>
      <c r="N7">
        <v>445</v>
      </c>
      <c r="O7">
        <v>0.32400000000000001</v>
      </c>
      <c r="P7">
        <v>162</v>
      </c>
      <c r="Q7">
        <v>192</v>
      </c>
      <c r="R7">
        <v>0.84399999999999997</v>
      </c>
      <c r="S7">
        <v>82</v>
      </c>
      <c r="T7">
        <v>188</v>
      </c>
      <c r="U7">
        <v>270</v>
      </c>
      <c r="V7">
        <v>196</v>
      </c>
      <c r="W7">
        <v>57</v>
      </c>
      <c r="X7">
        <v>13</v>
      </c>
      <c r="Y7">
        <v>135</v>
      </c>
      <c r="Z7">
        <v>112</v>
      </c>
      <c r="AA7">
        <v>1364</v>
      </c>
      <c r="AB7" t="str">
        <f t="shared" si="0"/>
        <v>Jordan Clarkson</v>
      </c>
      <c r="AE7">
        <v>203903</v>
      </c>
      <c r="AF7" t="s">
        <v>56</v>
      </c>
      <c r="AI7" t="s">
        <v>64</v>
      </c>
      <c r="AJ7">
        <v>377</v>
      </c>
      <c r="AK7">
        <v>1285</v>
      </c>
    </row>
    <row r="8" spans="1:37" x14ac:dyDescent="0.25">
      <c r="A8">
        <v>203903</v>
      </c>
      <c r="B8" t="s">
        <v>33</v>
      </c>
      <c r="C8">
        <v>0</v>
      </c>
      <c r="D8">
        <v>1610612739</v>
      </c>
      <c r="E8" t="s">
        <v>31</v>
      </c>
      <c r="F8">
        <v>28</v>
      </c>
      <c r="G8">
        <v>29</v>
      </c>
      <c r="H8">
        <v>0</v>
      </c>
      <c r="I8">
        <v>666</v>
      </c>
      <c r="J8">
        <v>144</v>
      </c>
      <c r="K8">
        <v>326</v>
      </c>
      <c r="L8">
        <v>0.442</v>
      </c>
      <c r="M8">
        <v>59</v>
      </c>
      <c r="N8">
        <v>159</v>
      </c>
      <c r="O8">
        <v>0.371</v>
      </c>
      <c r="P8">
        <v>76</v>
      </c>
      <c r="Q8">
        <v>86</v>
      </c>
      <c r="R8">
        <v>0.88400000000000001</v>
      </c>
      <c r="S8">
        <v>21</v>
      </c>
      <c r="T8">
        <v>48</v>
      </c>
      <c r="U8">
        <v>69</v>
      </c>
      <c r="V8">
        <v>70</v>
      </c>
      <c r="W8">
        <v>17</v>
      </c>
      <c r="X8">
        <v>8</v>
      </c>
      <c r="Y8">
        <v>39</v>
      </c>
      <c r="Z8">
        <v>33</v>
      </c>
      <c r="AA8">
        <v>423</v>
      </c>
      <c r="AB8" t="str">
        <f t="shared" si="0"/>
        <v>Jordan Clarkson</v>
      </c>
      <c r="AE8">
        <v>1641794</v>
      </c>
      <c r="AF8" t="s">
        <v>57</v>
      </c>
      <c r="AI8" t="s">
        <v>56</v>
      </c>
      <c r="AJ8">
        <v>194</v>
      </c>
      <c r="AK8">
        <v>1266</v>
      </c>
    </row>
    <row r="9" spans="1:37" x14ac:dyDescent="0.25">
      <c r="A9">
        <v>203903</v>
      </c>
      <c r="B9" t="s">
        <v>33</v>
      </c>
      <c r="C9">
        <v>0</v>
      </c>
      <c r="D9">
        <v>1610612762</v>
      </c>
      <c r="E9" t="s">
        <v>34</v>
      </c>
      <c r="F9">
        <v>28</v>
      </c>
      <c r="G9">
        <v>42</v>
      </c>
      <c r="H9">
        <v>2</v>
      </c>
      <c r="I9">
        <v>1039</v>
      </c>
      <c r="J9">
        <v>250</v>
      </c>
      <c r="K9">
        <v>541</v>
      </c>
      <c r="L9">
        <v>0.46200000000000002</v>
      </c>
      <c r="M9">
        <v>93</v>
      </c>
      <c r="N9">
        <v>254</v>
      </c>
      <c r="O9">
        <v>0.36599999999999999</v>
      </c>
      <c r="P9">
        <v>62</v>
      </c>
      <c r="Q9">
        <v>79</v>
      </c>
      <c r="R9">
        <v>0.78500000000000003</v>
      </c>
      <c r="S9">
        <v>29</v>
      </c>
      <c r="T9">
        <v>89</v>
      </c>
      <c r="U9">
        <v>118</v>
      </c>
      <c r="V9">
        <v>66</v>
      </c>
      <c r="W9">
        <v>29</v>
      </c>
      <c r="X9">
        <v>8</v>
      </c>
      <c r="Y9">
        <v>58</v>
      </c>
      <c r="Z9">
        <v>75</v>
      </c>
      <c r="AA9">
        <v>655</v>
      </c>
      <c r="AB9" t="str">
        <f t="shared" si="0"/>
        <v>Jordan Clarkson</v>
      </c>
      <c r="AE9">
        <v>1630540</v>
      </c>
      <c r="AF9" t="s">
        <v>58</v>
      </c>
      <c r="AI9" t="s">
        <v>61</v>
      </c>
      <c r="AJ9">
        <v>152</v>
      </c>
      <c r="AK9">
        <v>330</v>
      </c>
    </row>
    <row r="10" spans="1:37" x14ac:dyDescent="0.25">
      <c r="A10">
        <v>203903</v>
      </c>
      <c r="B10" t="s">
        <v>35</v>
      </c>
      <c r="C10">
        <v>0</v>
      </c>
      <c r="D10">
        <v>1610612762</v>
      </c>
      <c r="E10" t="s">
        <v>34</v>
      </c>
      <c r="F10">
        <v>29</v>
      </c>
      <c r="G10">
        <v>68</v>
      </c>
      <c r="H10">
        <v>1</v>
      </c>
      <c r="I10">
        <v>1818</v>
      </c>
      <c r="J10">
        <v>457</v>
      </c>
      <c r="K10">
        <v>1075</v>
      </c>
      <c r="L10">
        <v>0.42499999999999999</v>
      </c>
      <c r="M10">
        <v>208</v>
      </c>
      <c r="N10">
        <v>599</v>
      </c>
      <c r="O10">
        <v>0.34699999999999998</v>
      </c>
      <c r="P10">
        <v>129</v>
      </c>
      <c r="Q10">
        <v>144</v>
      </c>
      <c r="R10">
        <v>0.89600000000000002</v>
      </c>
      <c r="S10">
        <v>47</v>
      </c>
      <c r="T10">
        <v>227</v>
      </c>
      <c r="U10">
        <v>274</v>
      </c>
      <c r="V10">
        <v>168</v>
      </c>
      <c r="W10">
        <v>61</v>
      </c>
      <c r="X10">
        <v>10</v>
      </c>
      <c r="Y10">
        <v>115</v>
      </c>
      <c r="Z10">
        <v>110</v>
      </c>
      <c r="AA10">
        <v>1251</v>
      </c>
      <c r="AB10" t="str">
        <f t="shared" si="0"/>
        <v>Jordan Clarkson</v>
      </c>
      <c r="AE10">
        <v>1628404</v>
      </c>
      <c r="AF10" t="s">
        <v>59</v>
      </c>
      <c r="AI10" t="s">
        <v>59</v>
      </c>
      <c r="AJ10">
        <v>448</v>
      </c>
      <c r="AK10">
        <v>1614</v>
      </c>
    </row>
    <row r="11" spans="1:37" x14ac:dyDescent="0.25">
      <c r="A11">
        <v>203903</v>
      </c>
      <c r="B11" t="s">
        <v>36</v>
      </c>
      <c r="C11">
        <v>0</v>
      </c>
      <c r="D11">
        <v>1610612762</v>
      </c>
      <c r="E11" t="s">
        <v>34</v>
      </c>
      <c r="F11">
        <v>30</v>
      </c>
      <c r="G11">
        <v>79</v>
      </c>
      <c r="H11">
        <v>1</v>
      </c>
      <c r="I11">
        <v>2141</v>
      </c>
      <c r="J11">
        <v>466</v>
      </c>
      <c r="K11">
        <v>1113</v>
      </c>
      <c r="L11">
        <v>0.41899999999999998</v>
      </c>
      <c r="M11">
        <v>190</v>
      </c>
      <c r="N11">
        <v>597</v>
      </c>
      <c r="O11">
        <v>0.318</v>
      </c>
      <c r="P11">
        <v>144</v>
      </c>
      <c r="Q11">
        <v>174</v>
      </c>
      <c r="R11">
        <v>0.82799999999999996</v>
      </c>
      <c r="S11">
        <v>67</v>
      </c>
      <c r="T11">
        <v>206</v>
      </c>
      <c r="U11">
        <v>273</v>
      </c>
      <c r="V11">
        <v>194</v>
      </c>
      <c r="W11">
        <v>66</v>
      </c>
      <c r="X11">
        <v>16</v>
      </c>
      <c r="Y11">
        <v>129</v>
      </c>
      <c r="Z11">
        <v>149</v>
      </c>
      <c r="AA11">
        <v>1266</v>
      </c>
      <c r="AB11" t="str">
        <f t="shared" si="0"/>
        <v>Jordan Clarkson</v>
      </c>
      <c r="AE11">
        <v>1642359</v>
      </c>
      <c r="AF11" t="s">
        <v>60</v>
      </c>
      <c r="AI11" t="s">
        <v>69</v>
      </c>
      <c r="AJ11">
        <v>269</v>
      </c>
      <c r="AK11">
        <v>1818</v>
      </c>
    </row>
    <row r="12" spans="1:37" x14ac:dyDescent="0.25">
      <c r="A12">
        <v>203903</v>
      </c>
      <c r="B12" t="s">
        <v>37</v>
      </c>
      <c r="C12">
        <v>0</v>
      </c>
      <c r="D12">
        <v>1610612762</v>
      </c>
      <c r="E12" t="s">
        <v>34</v>
      </c>
      <c r="F12">
        <v>31</v>
      </c>
      <c r="G12">
        <v>61</v>
      </c>
      <c r="H12">
        <v>61</v>
      </c>
      <c r="I12">
        <v>1988</v>
      </c>
      <c r="J12">
        <v>458</v>
      </c>
      <c r="K12">
        <v>1031</v>
      </c>
      <c r="L12">
        <v>0.44400000000000001</v>
      </c>
      <c r="M12">
        <v>155</v>
      </c>
      <c r="N12">
        <v>459</v>
      </c>
      <c r="O12">
        <v>0.33800000000000002</v>
      </c>
      <c r="P12">
        <v>200</v>
      </c>
      <c r="Q12">
        <v>245</v>
      </c>
      <c r="R12">
        <v>0.81599999999999995</v>
      </c>
      <c r="S12">
        <v>72</v>
      </c>
      <c r="T12">
        <v>174</v>
      </c>
      <c r="U12">
        <v>246</v>
      </c>
      <c r="V12">
        <v>270</v>
      </c>
      <c r="W12">
        <v>33</v>
      </c>
      <c r="X12">
        <v>13</v>
      </c>
      <c r="Y12">
        <v>186</v>
      </c>
      <c r="Z12">
        <v>120</v>
      </c>
      <c r="AA12">
        <v>1271</v>
      </c>
      <c r="AB12" t="str">
        <f t="shared" si="0"/>
        <v>Jordan Clarkson</v>
      </c>
      <c r="AE12">
        <v>1630631</v>
      </c>
      <c r="AF12" t="s">
        <v>61</v>
      </c>
      <c r="AI12" t="s">
        <v>70</v>
      </c>
      <c r="AJ12">
        <v>108</v>
      </c>
      <c r="AK12">
        <v>573</v>
      </c>
    </row>
    <row r="13" spans="1:37" x14ac:dyDescent="0.25">
      <c r="A13">
        <v>203903</v>
      </c>
      <c r="B13" t="s">
        <v>38</v>
      </c>
      <c r="C13">
        <v>0</v>
      </c>
      <c r="D13">
        <v>1610612762</v>
      </c>
      <c r="E13" t="s">
        <v>34</v>
      </c>
      <c r="F13">
        <v>32</v>
      </c>
      <c r="G13">
        <v>55</v>
      </c>
      <c r="H13">
        <v>19</v>
      </c>
      <c r="I13">
        <v>1682</v>
      </c>
      <c r="J13">
        <v>337</v>
      </c>
      <c r="K13">
        <v>816</v>
      </c>
      <c r="L13">
        <v>0.41299999999999998</v>
      </c>
      <c r="M13">
        <v>91</v>
      </c>
      <c r="N13">
        <v>309</v>
      </c>
      <c r="O13">
        <v>0.29399999999999998</v>
      </c>
      <c r="P13">
        <v>177</v>
      </c>
      <c r="Q13">
        <v>201</v>
      </c>
      <c r="R13">
        <v>0.88100000000000001</v>
      </c>
      <c r="S13">
        <v>49</v>
      </c>
      <c r="T13">
        <v>139</v>
      </c>
      <c r="U13">
        <v>188</v>
      </c>
      <c r="V13">
        <v>277</v>
      </c>
      <c r="W13">
        <v>35</v>
      </c>
      <c r="X13">
        <v>6</v>
      </c>
      <c r="Y13">
        <v>146</v>
      </c>
      <c r="Z13">
        <v>81</v>
      </c>
      <c r="AA13">
        <v>942</v>
      </c>
      <c r="AB13" t="str">
        <f t="shared" si="0"/>
        <v>Jordan Clarkson</v>
      </c>
      <c r="AE13">
        <v>1628384</v>
      </c>
      <c r="AF13" t="s">
        <v>62</v>
      </c>
      <c r="AI13" t="s">
        <v>68</v>
      </c>
      <c r="AJ13">
        <v>185</v>
      </c>
      <c r="AK13">
        <v>1162</v>
      </c>
    </row>
    <row r="14" spans="1:37" x14ac:dyDescent="0.25">
      <c r="A14">
        <v>203903</v>
      </c>
      <c r="B14" t="s">
        <v>39</v>
      </c>
      <c r="C14">
        <v>0</v>
      </c>
      <c r="D14">
        <v>1610612762</v>
      </c>
      <c r="E14" t="s">
        <v>34</v>
      </c>
      <c r="F14">
        <v>33</v>
      </c>
      <c r="G14">
        <v>37</v>
      </c>
      <c r="H14">
        <v>9</v>
      </c>
      <c r="I14">
        <v>962</v>
      </c>
      <c r="J14">
        <v>201</v>
      </c>
      <c r="K14">
        <v>493</v>
      </c>
      <c r="L14">
        <v>0.40799999999999997</v>
      </c>
      <c r="M14">
        <v>84</v>
      </c>
      <c r="N14">
        <v>232</v>
      </c>
      <c r="O14">
        <v>0.36199999999999999</v>
      </c>
      <c r="P14">
        <v>114</v>
      </c>
      <c r="Q14">
        <v>143</v>
      </c>
      <c r="R14">
        <v>0.79700000000000004</v>
      </c>
      <c r="S14">
        <v>25</v>
      </c>
      <c r="T14">
        <v>93</v>
      </c>
      <c r="U14">
        <v>118</v>
      </c>
      <c r="V14">
        <v>138</v>
      </c>
      <c r="W14">
        <v>31</v>
      </c>
      <c r="X14">
        <v>9</v>
      </c>
      <c r="Y14">
        <v>86</v>
      </c>
      <c r="Z14">
        <v>52</v>
      </c>
      <c r="AA14">
        <v>600</v>
      </c>
      <c r="AB14" t="str">
        <f t="shared" si="0"/>
        <v>Jordan Clarkson</v>
      </c>
      <c r="AE14">
        <v>1641755</v>
      </c>
      <c r="AF14" t="s">
        <v>63</v>
      </c>
      <c r="AI14" t="s">
        <v>58</v>
      </c>
      <c r="AJ14">
        <v>41</v>
      </c>
      <c r="AK14">
        <v>89</v>
      </c>
    </row>
    <row r="15" spans="1:37" x14ac:dyDescent="0.25">
      <c r="A15">
        <v>203903</v>
      </c>
      <c r="B15" t="s">
        <v>40</v>
      </c>
      <c r="C15">
        <v>0</v>
      </c>
      <c r="D15">
        <v>1610612752</v>
      </c>
      <c r="E15" t="s">
        <v>41</v>
      </c>
      <c r="F15">
        <v>34</v>
      </c>
      <c r="G15">
        <v>72</v>
      </c>
      <c r="H15">
        <v>1</v>
      </c>
      <c r="I15">
        <v>1279</v>
      </c>
      <c r="J15">
        <v>237</v>
      </c>
      <c r="K15">
        <v>526</v>
      </c>
      <c r="L15">
        <v>0.45100000000000001</v>
      </c>
      <c r="M15">
        <v>70</v>
      </c>
      <c r="N15">
        <v>214</v>
      </c>
      <c r="O15">
        <v>0.32700000000000001</v>
      </c>
      <c r="P15">
        <v>78</v>
      </c>
      <c r="Q15">
        <v>94</v>
      </c>
      <c r="R15">
        <v>0.83</v>
      </c>
      <c r="S15">
        <v>62</v>
      </c>
      <c r="T15">
        <v>65</v>
      </c>
      <c r="U15">
        <v>127</v>
      </c>
      <c r="V15">
        <v>96</v>
      </c>
      <c r="W15">
        <v>30</v>
      </c>
      <c r="X15">
        <v>9</v>
      </c>
      <c r="Y15">
        <v>63</v>
      </c>
      <c r="Z15">
        <v>123</v>
      </c>
      <c r="AA15">
        <v>622</v>
      </c>
      <c r="AB15" t="str">
        <f t="shared" si="0"/>
        <v>Jordan Clarkson</v>
      </c>
      <c r="AE15">
        <v>1628973</v>
      </c>
      <c r="AF15" t="s">
        <v>64</v>
      </c>
      <c r="AI15" t="s">
        <v>67</v>
      </c>
      <c r="AJ15">
        <v>38</v>
      </c>
      <c r="AK15">
        <v>610</v>
      </c>
    </row>
    <row r="16" spans="1:37" x14ac:dyDescent="0.25">
      <c r="A16">
        <v>1641794</v>
      </c>
      <c r="B16" t="s">
        <v>39</v>
      </c>
      <c r="C16">
        <v>0</v>
      </c>
      <c r="D16">
        <v>1610612760</v>
      </c>
      <c r="E16" t="s">
        <v>42</v>
      </c>
      <c r="F16">
        <v>23</v>
      </c>
      <c r="G16">
        <v>54</v>
      </c>
      <c r="H16">
        <v>3</v>
      </c>
      <c r="I16">
        <v>552</v>
      </c>
      <c r="J16">
        <v>51</v>
      </c>
      <c r="K16">
        <v>133</v>
      </c>
      <c r="L16">
        <v>0.38300000000000001</v>
      </c>
      <c r="M16">
        <v>16</v>
      </c>
      <c r="N16">
        <v>63</v>
      </c>
      <c r="O16">
        <v>0.254</v>
      </c>
      <c r="P16">
        <v>17</v>
      </c>
      <c r="Q16">
        <v>28</v>
      </c>
      <c r="R16">
        <v>0.60699999999999998</v>
      </c>
      <c r="S16">
        <v>30</v>
      </c>
      <c r="T16">
        <v>91</v>
      </c>
      <c r="U16">
        <v>121</v>
      </c>
      <c r="V16">
        <v>58</v>
      </c>
      <c r="W16">
        <v>16</v>
      </c>
      <c r="X16">
        <v>4</v>
      </c>
      <c r="Y16">
        <v>28</v>
      </c>
      <c r="Z16">
        <v>54</v>
      </c>
      <c r="AA16">
        <v>135</v>
      </c>
      <c r="AB16" t="str">
        <f t="shared" si="0"/>
        <v>Dillon Jones</v>
      </c>
      <c r="AE16">
        <v>1642278</v>
      </c>
      <c r="AF16" t="s">
        <v>65</v>
      </c>
      <c r="AI16" t="s">
        <v>62</v>
      </c>
      <c r="AJ16">
        <v>125</v>
      </c>
      <c r="AK16">
        <v>822</v>
      </c>
    </row>
    <row r="17" spans="1:45" x14ac:dyDescent="0.25">
      <c r="A17">
        <v>1641794</v>
      </c>
      <c r="B17" t="s">
        <v>40</v>
      </c>
      <c r="C17">
        <v>0</v>
      </c>
      <c r="D17">
        <v>1610612752</v>
      </c>
      <c r="E17" t="s">
        <v>41</v>
      </c>
      <c r="F17">
        <v>24</v>
      </c>
      <c r="G17">
        <v>7</v>
      </c>
      <c r="H17">
        <v>0</v>
      </c>
      <c r="I17">
        <v>39</v>
      </c>
      <c r="J17">
        <v>2</v>
      </c>
      <c r="K17">
        <v>9</v>
      </c>
      <c r="L17">
        <v>0.222</v>
      </c>
      <c r="M17">
        <v>1</v>
      </c>
      <c r="N17">
        <v>5</v>
      </c>
      <c r="O17">
        <v>0.2</v>
      </c>
      <c r="P17">
        <v>4</v>
      </c>
      <c r="Q17">
        <v>4</v>
      </c>
      <c r="R17">
        <v>1</v>
      </c>
      <c r="S17">
        <v>2</v>
      </c>
      <c r="T17">
        <v>5</v>
      </c>
      <c r="U17">
        <v>7</v>
      </c>
      <c r="V17">
        <v>4</v>
      </c>
      <c r="W17">
        <v>3</v>
      </c>
      <c r="X17">
        <v>0</v>
      </c>
      <c r="Y17">
        <v>0</v>
      </c>
      <c r="Z17">
        <v>6</v>
      </c>
      <c r="AA17">
        <v>9</v>
      </c>
      <c r="AB17" t="str">
        <f t="shared" si="0"/>
        <v>Dillon Jones</v>
      </c>
      <c r="AE17">
        <v>1631110</v>
      </c>
      <c r="AF17" t="s">
        <v>66</v>
      </c>
      <c r="AI17" t="s">
        <v>74</v>
      </c>
      <c r="AJ17">
        <v>1937</v>
      </c>
      <c r="AK17">
        <v>9569</v>
      </c>
    </row>
    <row r="18" spans="1:45" x14ac:dyDescent="0.25">
      <c r="A18">
        <v>1630540</v>
      </c>
      <c r="B18" t="s">
        <v>36</v>
      </c>
      <c r="C18">
        <v>0</v>
      </c>
      <c r="D18">
        <v>1610612752</v>
      </c>
      <c r="E18" t="s">
        <v>41</v>
      </c>
      <c r="F18">
        <v>21</v>
      </c>
      <c r="G18">
        <v>40</v>
      </c>
      <c r="H18">
        <v>2</v>
      </c>
      <c r="I18">
        <v>372</v>
      </c>
      <c r="J18">
        <v>32</v>
      </c>
      <c r="K18">
        <v>108</v>
      </c>
      <c r="L18">
        <v>0.29599999999999999</v>
      </c>
      <c r="M18">
        <v>17</v>
      </c>
      <c r="N18">
        <v>68</v>
      </c>
      <c r="O18">
        <v>0.25</v>
      </c>
      <c r="P18">
        <v>8</v>
      </c>
      <c r="Q18">
        <v>12</v>
      </c>
      <c r="R18">
        <v>0.66700000000000004</v>
      </c>
      <c r="S18">
        <v>4</v>
      </c>
      <c r="T18">
        <v>38</v>
      </c>
      <c r="U18">
        <v>42</v>
      </c>
      <c r="V18">
        <v>41</v>
      </c>
      <c r="W18">
        <v>14</v>
      </c>
      <c r="X18">
        <v>1</v>
      </c>
      <c r="Y18">
        <v>5</v>
      </c>
      <c r="Z18">
        <v>45</v>
      </c>
      <c r="AA18">
        <v>89</v>
      </c>
      <c r="AB18" t="str">
        <f t="shared" si="0"/>
        <v>Miles McBride</v>
      </c>
      <c r="AE18">
        <v>1629011</v>
      </c>
      <c r="AF18" t="s">
        <v>67</v>
      </c>
    </row>
    <row r="19" spans="1:45" x14ac:dyDescent="0.25">
      <c r="A19">
        <v>1630540</v>
      </c>
      <c r="B19" t="s">
        <v>37</v>
      </c>
      <c r="C19">
        <v>0</v>
      </c>
      <c r="D19">
        <v>1610612752</v>
      </c>
      <c r="E19" t="s">
        <v>41</v>
      </c>
      <c r="F19">
        <v>22</v>
      </c>
      <c r="G19">
        <v>64</v>
      </c>
      <c r="H19">
        <v>2</v>
      </c>
      <c r="I19">
        <v>760</v>
      </c>
      <c r="J19">
        <v>77</v>
      </c>
      <c r="K19">
        <v>215</v>
      </c>
      <c r="L19">
        <v>0.35799999999999998</v>
      </c>
      <c r="M19">
        <v>40</v>
      </c>
      <c r="N19">
        <v>134</v>
      </c>
      <c r="O19">
        <v>0.29899999999999999</v>
      </c>
      <c r="P19">
        <v>28</v>
      </c>
      <c r="Q19">
        <v>42</v>
      </c>
      <c r="R19">
        <v>0.66700000000000004</v>
      </c>
      <c r="S19">
        <v>13</v>
      </c>
      <c r="T19">
        <v>37</v>
      </c>
      <c r="U19">
        <v>50</v>
      </c>
      <c r="V19">
        <v>72</v>
      </c>
      <c r="W19">
        <v>37</v>
      </c>
      <c r="X19">
        <v>8</v>
      </c>
      <c r="Y19">
        <v>25</v>
      </c>
      <c r="Z19">
        <v>60</v>
      </c>
      <c r="AA19">
        <v>222</v>
      </c>
      <c r="AB19" t="str">
        <f t="shared" si="0"/>
        <v>Miles McBride</v>
      </c>
      <c r="AE19">
        <v>1628969</v>
      </c>
      <c r="AF19" t="s">
        <v>68</v>
      </c>
    </row>
    <row r="20" spans="1:45" x14ac:dyDescent="0.25">
      <c r="A20">
        <v>1630540</v>
      </c>
      <c r="B20" t="s">
        <v>38</v>
      </c>
      <c r="C20">
        <v>0</v>
      </c>
      <c r="D20">
        <v>1610612752</v>
      </c>
      <c r="E20" t="s">
        <v>41</v>
      </c>
      <c r="F20">
        <v>23</v>
      </c>
      <c r="G20">
        <v>68</v>
      </c>
      <c r="H20">
        <v>14</v>
      </c>
      <c r="I20">
        <v>1328</v>
      </c>
      <c r="J20">
        <v>205</v>
      </c>
      <c r="K20">
        <v>454</v>
      </c>
      <c r="L20">
        <v>0.45200000000000001</v>
      </c>
      <c r="M20">
        <v>109</v>
      </c>
      <c r="N20">
        <v>266</v>
      </c>
      <c r="O20">
        <v>0.41</v>
      </c>
      <c r="P20">
        <v>43</v>
      </c>
      <c r="Q20">
        <v>50</v>
      </c>
      <c r="R20">
        <v>0.86</v>
      </c>
      <c r="S20">
        <v>31</v>
      </c>
      <c r="T20">
        <v>69</v>
      </c>
      <c r="U20">
        <v>100</v>
      </c>
      <c r="V20">
        <v>114</v>
      </c>
      <c r="W20">
        <v>50</v>
      </c>
      <c r="X20">
        <v>7</v>
      </c>
      <c r="Y20">
        <v>30</v>
      </c>
      <c r="Z20">
        <v>108</v>
      </c>
      <c r="AA20">
        <v>562</v>
      </c>
      <c r="AB20" t="str">
        <f t="shared" si="0"/>
        <v>Miles McBride</v>
      </c>
      <c r="AE20">
        <v>1626157</v>
      </c>
      <c r="AF20" t="s">
        <v>69</v>
      </c>
      <c r="AI20" s="1" t="s">
        <v>54</v>
      </c>
      <c r="AJ20" t="s">
        <v>62</v>
      </c>
    </row>
    <row r="21" spans="1:45" x14ac:dyDescent="0.25">
      <c r="A21">
        <v>1630540</v>
      </c>
      <c r="B21" t="s">
        <v>39</v>
      </c>
      <c r="C21">
        <v>0</v>
      </c>
      <c r="D21">
        <v>1610612752</v>
      </c>
      <c r="E21" t="s">
        <v>41</v>
      </c>
      <c r="F21">
        <v>24</v>
      </c>
      <c r="G21">
        <v>64</v>
      </c>
      <c r="H21">
        <v>10</v>
      </c>
      <c r="I21">
        <v>1593</v>
      </c>
      <c r="J21">
        <v>222</v>
      </c>
      <c r="K21">
        <v>547</v>
      </c>
      <c r="L21">
        <v>0.40600000000000003</v>
      </c>
      <c r="M21">
        <v>115</v>
      </c>
      <c r="N21">
        <v>312</v>
      </c>
      <c r="O21">
        <v>0.36899999999999999</v>
      </c>
      <c r="P21">
        <v>52</v>
      </c>
      <c r="Q21">
        <v>64</v>
      </c>
      <c r="R21">
        <v>0.81299999999999994</v>
      </c>
      <c r="S21">
        <v>47</v>
      </c>
      <c r="T21">
        <v>114</v>
      </c>
      <c r="U21">
        <v>161</v>
      </c>
      <c r="V21">
        <v>187</v>
      </c>
      <c r="W21">
        <v>67</v>
      </c>
      <c r="X21">
        <v>17</v>
      </c>
      <c r="Y21">
        <v>41</v>
      </c>
      <c r="Z21">
        <v>108</v>
      </c>
      <c r="AA21">
        <v>611</v>
      </c>
      <c r="AB21" t="str">
        <f t="shared" si="0"/>
        <v>Miles McBride</v>
      </c>
      <c r="AE21">
        <v>1629013</v>
      </c>
      <c r="AF21" t="s">
        <v>70</v>
      </c>
    </row>
    <row r="22" spans="1:45" x14ac:dyDescent="0.25">
      <c r="A22">
        <v>1630540</v>
      </c>
      <c r="B22" t="s">
        <v>40</v>
      </c>
      <c r="C22">
        <v>0</v>
      </c>
      <c r="D22">
        <v>1610612752</v>
      </c>
      <c r="E22" t="s">
        <v>41</v>
      </c>
      <c r="F22">
        <v>25</v>
      </c>
      <c r="G22">
        <v>41</v>
      </c>
      <c r="H22">
        <v>15</v>
      </c>
      <c r="I22">
        <v>1080</v>
      </c>
      <c r="J22">
        <v>171</v>
      </c>
      <c r="K22">
        <v>404</v>
      </c>
      <c r="L22">
        <v>0.42299999999999999</v>
      </c>
      <c r="M22">
        <v>112</v>
      </c>
      <c r="N22">
        <v>271</v>
      </c>
      <c r="O22">
        <v>0.41299999999999998</v>
      </c>
      <c r="P22">
        <v>37</v>
      </c>
      <c r="Q22">
        <v>47</v>
      </c>
      <c r="R22">
        <v>0.78700000000000003</v>
      </c>
      <c r="S22">
        <v>24</v>
      </c>
      <c r="T22">
        <v>76</v>
      </c>
      <c r="U22">
        <v>100</v>
      </c>
      <c r="V22">
        <v>106</v>
      </c>
      <c r="W22">
        <v>35</v>
      </c>
      <c r="X22">
        <v>9</v>
      </c>
      <c r="Y22">
        <v>33</v>
      </c>
      <c r="Z22">
        <v>70</v>
      </c>
      <c r="AA22">
        <v>491</v>
      </c>
      <c r="AB22" t="str">
        <f t="shared" si="0"/>
        <v>Miles McBride</v>
      </c>
      <c r="AE22">
        <v>1641998</v>
      </c>
      <c r="AF22" t="s">
        <v>71</v>
      </c>
      <c r="AJ22" s="1" t="s">
        <v>0</v>
      </c>
    </row>
    <row r="23" spans="1:45" x14ac:dyDescent="0.25">
      <c r="A23">
        <v>1628404</v>
      </c>
      <c r="B23" t="s">
        <v>30</v>
      </c>
      <c r="C23">
        <v>0</v>
      </c>
      <c r="D23">
        <v>1610612747</v>
      </c>
      <c r="E23" t="s">
        <v>27</v>
      </c>
      <c r="F23">
        <v>23</v>
      </c>
      <c r="G23">
        <v>63</v>
      </c>
      <c r="H23">
        <v>23</v>
      </c>
      <c r="I23">
        <v>1461</v>
      </c>
      <c r="J23">
        <v>176</v>
      </c>
      <c r="K23">
        <v>375</v>
      </c>
      <c r="L23">
        <v>0.46899999999999997</v>
      </c>
      <c r="M23">
        <v>78</v>
      </c>
      <c r="N23">
        <v>197</v>
      </c>
      <c r="O23">
        <v>0.39600000000000002</v>
      </c>
      <c r="P23">
        <v>66</v>
      </c>
      <c r="Q23">
        <v>94</v>
      </c>
      <c r="R23">
        <v>0.70199999999999996</v>
      </c>
      <c r="S23">
        <v>42</v>
      </c>
      <c r="T23">
        <v>221</v>
      </c>
      <c r="U23">
        <v>263</v>
      </c>
      <c r="V23">
        <v>80</v>
      </c>
      <c r="W23">
        <v>47</v>
      </c>
      <c r="X23">
        <v>16</v>
      </c>
      <c r="Y23">
        <v>47</v>
      </c>
      <c r="Z23">
        <v>107</v>
      </c>
      <c r="AA23">
        <v>496</v>
      </c>
      <c r="AB23" t="str">
        <f t="shared" si="0"/>
        <v>Josh Hart</v>
      </c>
      <c r="AE23">
        <v>1642885</v>
      </c>
      <c r="AF23" t="s">
        <v>72</v>
      </c>
      <c r="AJ23" t="s">
        <v>30</v>
      </c>
      <c r="AK23" t="s">
        <v>32</v>
      </c>
      <c r="AL23" t="s">
        <v>33</v>
      </c>
      <c r="AM23" t="s">
        <v>35</v>
      </c>
      <c r="AN23" t="s">
        <v>36</v>
      </c>
      <c r="AO23" t="s">
        <v>37</v>
      </c>
      <c r="AP23" t="s">
        <v>38</v>
      </c>
      <c r="AQ23" t="s">
        <v>39</v>
      </c>
      <c r="AR23" t="s">
        <v>40</v>
      </c>
      <c r="AS23" t="s">
        <v>74</v>
      </c>
    </row>
    <row r="24" spans="1:45" x14ac:dyDescent="0.25">
      <c r="A24">
        <v>1628404</v>
      </c>
      <c r="B24" t="s">
        <v>32</v>
      </c>
      <c r="C24">
        <v>0</v>
      </c>
      <c r="D24">
        <v>1610612747</v>
      </c>
      <c r="E24" t="s">
        <v>27</v>
      </c>
      <c r="F24">
        <v>24</v>
      </c>
      <c r="G24">
        <v>67</v>
      </c>
      <c r="H24">
        <v>22</v>
      </c>
      <c r="I24">
        <v>1715</v>
      </c>
      <c r="J24">
        <v>189</v>
      </c>
      <c r="K24">
        <v>464</v>
      </c>
      <c r="L24">
        <v>0.40699999999999997</v>
      </c>
      <c r="M24">
        <v>92</v>
      </c>
      <c r="N24">
        <v>274</v>
      </c>
      <c r="O24">
        <v>0.33600000000000002</v>
      </c>
      <c r="P24">
        <v>55</v>
      </c>
      <c r="Q24">
        <v>80</v>
      </c>
      <c r="R24">
        <v>0.68799999999999994</v>
      </c>
      <c r="S24">
        <v>35</v>
      </c>
      <c r="T24">
        <v>213</v>
      </c>
      <c r="U24">
        <v>248</v>
      </c>
      <c r="V24">
        <v>93</v>
      </c>
      <c r="W24">
        <v>64</v>
      </c>
      <c r="X24">
        <v>40</v>
      </c>
      <c r="Y24">
        <v>58</v>
      </c>
      <c r="Z24">
        <v>147</v>
      </c>
      <c r="AA24">
        <v>525</v>
      </c>
      <c r="AB24" t="str">
        <f t="shared" si="0"/>
        <v>Josh Hart</v>
      </c>
      <c r="AE24">
        <v>1630574</v>
      </c>
      <c r="AF24" t="s">
        <v>73</v>
      </c>
      <c r="AI24" t="s">
        <v>77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3</v>
      </c>
      <c r="AQ24">
        <v>1</v>
      </c>
      <c r="AR24">
        <v>1</v>
      </c>
      <c r="AS24">
        <v>11</v>
      </c>
    </row>
    <row r="25" spans="1:45" x14ac:dyDescent="0.25">
      <c r="A25">
        <v>1628404</v>
      </c>
      <c r="B25" t="s">
        <v>33</v>
      </c>
      <c r="C25">
        <v>0</v>
      </c>
      <c r="D25">
        <v>1610612740</v>
      </c>
      <c r="E25" t="s">
        <v>43</v>
      </c>
      <c r="F25">
        <v>25</v>
      </c>
      <c r="G25">
        <v>65</v>
      </c>
      <c r="H25">
        <v>16</v>
      </c>
      <c r="I25">
        <v>1755</v>
      </c>
      <c r="J25">
        <v>225</v>
      </c>
      <c r="K25">
        <v>532</v>
      </c>
      <c r="L25">
        <v>0.42299999999999999</v>
      </c>
      <c r="M25">
        <v>121</v>
      </c>
      <c r="N25">
        <v>354</v>
      </c>
      <c r="O25">
        <v>0.34200000000000003</v>
      </c>
      <c r="P25">
        <v>85</v>
      </c>
      <c r="Q25">
        <v>115</v>
      </c>
      <c r="R25">
        <v>0.73899999999999999</v>
      </c>
      <c r="S25">
        <v>61</v>
      </c>
      <c r="T25">
        <v>364</v>
      </c>
      <c r="U25">
        <v>425</v>
      </c>
      <c r="V25">
        <v>108</v>
      </c>
      <c r="W25">
        <v>63</v>
      </c>
      <c r="X25">
        <v>23</v>
      </c>
      <c r="Y25">
        <v>75</v>
      </c>
      <c r="Z25">
        <v>160</v>
      </c>
      <c r="AA25">
        <v>656</v>
      </c>
      <c r="AB25" t="str">
        <f t="shared" si="0"/>
        <v>Josh Hart</v>
      </c>
    </row>
    <row r="26" spans="1:45" x14ac:dyDescent="0.25">
      <c r="A26">
        <v>1628404</v>
      </c>
      <c r="B26" t="s">
        <v>35</v>
      </c>
      <c r="C26">
        <v>0</v>
      </c>
      <c r="D26">
        <v>1610612740</v>
      </c>
      <c r="E26" t="s">
        <v>43</v>
      </c>
      <c r="F26">
        <v>26</v>
      </c>
      <c r="G26">
        <v>47</v>
      </c>
      <c r="H26">
        <v>4</v>
      </c>
      <c r="I26">
        <v>1350</v>
      </c>
      <c r="J26">
        <v>151</v>
      </c>
      <c r="K26">
        <v>344</v>
      </c>
      <c r="L26">
        <v>0.439</v>
      </c>
      <c r="M26">
        <v>63</v>
      </c>
      <c r="N26">
        <v>193</v>
      </c>
      <c r="O26">
        <v>0.32600000000000001</v>
      </c>
      <c r="P26">
        <v>69</v>
      </c>
      <c r="Q26">
        <v>89</v>
      </c>
      <c r="R26">
        <v>0.77500000000000002</v>
      </c>
      <c r="S26">
        <v>53</v>
      </c>
      <c r="T26">
        <v>324</v>
      </c>
      <c r="U26">
        <v>377</v>
      </c>
      <c r="V26">
        <v>109</v>
      </c>
      <c r="W26">
        <v>38</v>
      </c>
      <c r="X26">
        <v>12</v>
      </c>
      <c r="Y26">
        <v>49</v>
      </c>
      <c r="Z26">
        <v>111</v>
      </c>
      <c r="AA26">
        <v>434</v>
      </c>
      <c r="AB26" t="str">
        <f t="shared" si="0"/>
        <v>Josh Hart</v>
      </c>
    </row>
    <row r="27" spans="1:45" x14ac:dyDescent="0.25">
      <c r="A27">
        <v>1628404</v>
      </c>
      <c r="B27" t="s">
        <v>36</v>
      </c>
      <c r="C27">
        <v>0</v>
      </c>
      <c r="D27">
        <v>1610612740</v>
      </c>
      <c r="E27" t="s">
        <v>43</v>
      </c>
      <c r="F27">
        <v>27</v>
      </c>
      <c r="G27">
        <v>41</v>
      </c>
      <c r="H27">
        <v>40</v>
      </c>
      <c r="I27">
        <v>1374</v>
      </c>
      <c r="J27">
        <v>195</v>
      </c>
      <c r="K27">
        <v>386</v>
      </c>
      <c r="L27">
        <v>0.505</v>
      </c>
      <c r="M27">
        <v>42</v>
      </c>
      <c r="N27">
        <v>130</v>
      </c>
      <c r="O27">
        <v>0.32300000000000001</v>
      </c>
      <c r="P27">
        <v>116</v>
      </c>
      <c r="Q27">
        <v>154</v>
      </c>
      <c r="R27">
        <v>0.753</v>
      </c>
      <c r="S27">
        <v>53</v>
      </c>
      <c r="T27">
        <v>265</v>
      </c>
      <c r="U27">
        <v>318</v>
      </c>
      <c r="V27">
        <v>168</v>
      </c>
      <c r="W27">
        <v>45</v>
      </c>
      <c r="X27">
        <v>11</v>
      </c>
      <c r="Y27">
        <v>81</v>
      </c>
      <c r="Z27">
        <v>118</v>
      </c>
      <c r="AA27">
        <v>548</v>
      </c>
      <c r="AB27" t="str">
        <f t="shared" si="0"/>
        <v>Josh Hart</v>
      </c>
    </row>
    <row r="28" spans="1:45" x14ac:dyDescent="0.25">
      <c r="A28">
        <v>1628404</v>
      </c>
      <c r="B28" t="s">
        <v>36</v>
      </c>
      <c r="C28">
        <v>0</v>
      </c>
      <c r="D28">
        <v>1610612757</v>
      </c>
      <c r="E28" t="s">
        <v>44</v>
      </c>
      <c r="F28">
        <v>27</v>
      </c>
      <c r="G28">
        <v>13</v>
      </c>
      <c r="H28">
        <v>13</v>
      </c>
      <c r="I28">
        <v>417</v>
      </c>
      <c r="J28">
        <v>92</v>
      </c>
      <c r="K28">
        <v>183</v>
      </c>
      <c r="L28">
        <v>0.503</v>
      </c>
      <c r="M28">
        <v>31</v>
      </c>
      <c r="N28">
        <v>83</v>
      </c>
      <c r="O28">
        <v>0.373</v>
      </c>
      <c r="P28">
        <v>44</v>
      </c>
      <c r="Q28">
        <v>57</v>
      </c>
      <c r="R28">
        <v>0.77200000000000002</v>
      </c>
      <c r="S28">
        <v>9</v>
      </c>
      <c r="T28">
        <v>61</v>
      </c>
      <c r="U28">
        <v>70</v>
      </c>
      <c r="V28">
        <v>56</v>
      </c>
      <c r="W28">
        <v>16</v>
      </c>
      <c r="X28">
        <v>2</v>
      </c>
      <c r="Y28">
        <v>33</v>
      </c>
      <c r="Z28">
        <v>32</v>
      </c>
      <c r="AA28">
        <v>259</v>
      </c>
      <c r="AB28" t="str">
        <f t="shared" si="0"/>
        <v>Josh Hart</v>
      </c>
    </row>
    <row r="29" spans="1:45" x14ac:dyDescent="0.25">
      <c r="A29">
        <v>1628404</v>
      </c>
      <c r="B29" t="s">
        <v>37</v>
      </c>
      <c r="C29">
        <v>0</v>
      </c>
      <c r="D29">
        <v>1610612757</v>
      </c>
      <c r="E29" t="s">
        <v>44</v>
      </c>
      <c r="F29">
        <v>28</v>
      </c>
      <c r="G29">
        <v>51</v>
      </c>
      <c r="H29">
        <v>51</v>
      </c>
      <c r="I29">
        <v>1704</v>
      </c>
      <c r="J29">
        <v>183</v>
      </c>
      <c r="K29">
        <v>363</v>
      </c>
      <c r="L29">
        <v>0.504</v>
      </c>
      <c r="M29">
        <v>34</v>
      </c>
      <c r="N29">
        <v>112</v>
      </c>
      <c r="O29">
        <v>0.30399999999999999</v>
      </c>
      <c r="P29">
        <v>87</v>
      </c>
      <c r="Q29">
        <v>119</v>
      </c>
      <c r="R29">
        <v>0.73099999999999998</v>
      </c>
      <c r="S29">
        <v>95</v>
      </c>
      <c r="T29">
        <v>322</v>
      </c>
      <c r="U29">
        <v>417</v>
      </c>
      <c r="V29">
        <v>200</v>
      </c>
      <c r="W29">
        <v>54</v>
      </c>
      <c r="X29">
        <v>9</v>
      </c>
      <c r="Y29">
        <v>79</v>
      </c>
      <c r="Z29">
        <v>133</v>
      </c>
      <c r="AA29">
        <v>487</v>
      </c>
      <c r="AB29" t="str">
        <f t="shared" si="0"/>
        <v>Josh Hart</v>
      </c>
    </row>
    <row r="30" spans="1:45" x14ac:dyDescent="0.25">
      <c r="A30">
        <v>1628404</v>
      </c>
      <c r="B30" t="s">
        <v>37</v>
      </c>
      <c r="C30">
        <v>0</v>
      </c>
      <c r="D30">
        <v>1610612752</v>
      </c>
      <c r="E30" t="s">
        <v>41</v>
      </c>
      <c r="F30">
        <v>28</v>
      </c>
      <c r="G30">
        <v>25</v>
      </c>
      <c r="H30">
        <v>1</v>
      </c>
      <c r="I30">
        <v>750</v>
      </c>
      <c r="J30">
        <v>92</v>
      </c>
      <c r="K30">
        <v>157</v>
      </c>
      <c r="L30">
        <v>0.58599999999999997</v>
      </c>
      <c r="M30">
        <v>27</v>
      </c>
      <c r="N30">
        <v>52</v>
      </c>
      <c r="O30">
        <v>0.51900000000000002</v>
      </c>
      <c r="P30">
        <v>45</v>
      </c>
      <c r="Q30">
        <v>57</v>
      </c>
      <c r="R30">
        <v>0.78900000000000003</v>
      </c>
      <c r="S30">
        <v>47</v>
      </c>
      <c r="T30">
        <v>129</v>
      </c>
      <c r="U30">
        <v>176</v>
      </c>
      <c r="V30">
        <v>90</v>
      </c>
      <c r="W30">
        <v>34</v>
      </c>
      <c r="X30">
        <v>12</v>
      </c>
      <c r="Y30">
        <v>38</v>
      </c>
      <c r="Z30">
        <v>62</v>
      </c>
      <c r="AA30">
        <v>256</v>
      </c>
      <c r="AB30" t="str">
        <f t="shared" si="0"/>
        <v>Josh Hart</v>
      </c>
    </row>
    <row r="31" spans="1:45" x14ac:dyDescent="0.25">
      <c r="A31">
        <v>1628404</v>
      </c>
      <c r="B31" t="s">
        <v>38</v>
      </c>
      <c r="C31">
        <v>0</v>
      </c>
      <c r="D31">
        <v>1610612752</v>
      </c>
      <c r="E31" t="s">
        <v>41</v>
      </c>
      <c r="F31">
        <v>29</v>
      </c>
      <c r="G31">
        <v>81</v>
      </c>
      <c r="H31">
        <v>42</v>
      </c>
      <c r="I31">
        <v>2707</v>
      </c>
      <c r="J31">
        <v>295</v>
      </c>
      <c r="K31">
        <v>679</v>
      </c>
      <c r="L31">
        <v>0.434</v>
      </c>
      <c r="M31">
        <v>80</v>
      </c>
      <c r="N31">
        <v>258</v>
      </c>
      <c r="O31">
        <v>0.31</v>
      </c>
      <c r="P31">
        <v>91</v>
      </c>
      <c r="Q31">
        <v>115</v>
      </c>
      <c r="R31">
        <v>0.79100000000000004</v>
      </c>
      <c r="S31">
        <v>128</v>
      </c>
      <c r="T31">
        <v>547</v>
      </c>
      <c r="U31">
        <v>675</v>
      </c>
      <c r="V31">
        <v>331</v>
      </c>
      <c r="W31">
        <v>75</v>
      </c>
      <c r="X31">
        <v>23</v>
      </c>
      <c r="Y31">
        <v>118</v>
      </c>
      <c r="Z31">
        <v>171</v>
      </c>
      <c r="AA31">
        <v>761</v>
      </c>
      <c r="AB31" t="str">
        <f t="shared" si="0"/>
        <v>Josh Hart</v>
      </c>
    </row>
    <row r="32" spans="1:45" x14ac:dyDescent="0.25">
      <c r="A32">
        <v>1628404</v>
      </c>
      <c r="B32" t="s">
        <v>39</v>
      </c>
      <c r="C32">
        <v>0</v>
      </c>
      <c r="D32">
        <v>1610612752</v>
      </c>
      <c r="E32" t="s">
        <v>41</v>
      </c>
      <c r="F32">
        <v>30</v>
      </c>
      <c r="G32">
        <v>77</v>
      </c>
      <c r="H32">
        <v>77</v>
      </c>
      <c r="I32">
        <v>2897</v>
      </c>
      <c r="J32">
        <v>404</v>
      </c>
      <c r="K32">
        <v>770</v>
      </c>
      <c r="L32">
        <v>0.52500000000000002</v>
      </c>
      <c r="M32">
        <v>84</v>
      </c>
      <c r="N32">
        <v>252</v>
      </c>
      <c r="O32">
        <v>0.33300000000000002</v>
      </c>
      <c r="P32">
        <v>159</v>
      </c>
      <c r="Q32">
        <v>205</v>
      </c>
      <c r="R32">
        <v>0.77600000000000002</v>
      </c>
      <c r="S32">
        <v>161</v>
      </c>
      <c r="T32">
        <v>576</v>
      </c>
      <c r="U32">
        <v>737</v>
      </c>
      <c r="V32">
        <v>453</v>
      </c>
      <c r="W32">
        <v>119</v>
      </c>
      <c r="X32">
        <v>27</v>
      </c>
      <c r="Y32">
        <v>158</v>
      </c>
      <c r="Z32">
        <v>201</v>
      </c>
      <c r="AA32">
        <v>1051</v>
      </c>
      <c r="AB32" t="str">
        <f t="shared" si="0"/>
        <v>Josh Hart</v>
      </c>
    </row>
    <row r="33" spans="1:28" x14ac:dyDescent="0.25">
      <c r="A33">
        <v>1628404</v>
      </c>
      <c r="B33" t="s">
        <v>40</v>
      </c>
      <c r="C33">
        <v>0</v>
      </c>
      <c r="D33">
        <v>1610612752</v>
      </c>
      <c r="E33" t="s">
        <v>41</v>
      </c>
      <c r="F33">
        <v>31</v>
      </c>
      <c r="G33">
        <v>66</v>
      </c>
      <c r="H33">
        <v>52</v>
      </c>
      <c r="I33">
        <v>1994</v>
      </c>
      <c r="J33">
        <v>301</v>
      </c>
      <c r="K33">
        <v>592</v>
      </c>
      <c r="L33">
        <v>0.50800000000000001</v>
      </c>
      <c r="M33">
        <v>100</v>
      </c>
      <c r="N33">
        <v>242</v>
      </c>
      <c r="O33">
        <v>0.41299999999999998</v>
      </c>
      <c r="P33">
        <v>90</v>
      </c>
      <c r="Q33">
        <v>125</v>
      </c>
      <c r="R33">
        <v>0.72</v>
      </c>
      <c r="S33">
        <v>93</v>
      </c>
      <c r="T33">
        <v>393</v>
      </c>
      <c r="U33">
        <v>486</v>
      </c>
      <c r="V33">
        <v>317</v>
      </c>
      <c r="W33">
        <v>75</v>
      </c>
      <c r="X33">
        <v>17</v>
      </c>
      <c r="Y33">
        <v>128</v>
      </c>
      <c r="Z33">
        <v>165</v>
      </c>
      <c r="AA33">
        <v>792</v>
      </c>
      <c r="AB33" t="str">
        <f t="shared" si="0"/>
        <v>Josh Hart</v>
      </c>
    </row>
    <row r="34" spans="1:28" x14ac:dyDescent="0.25">
      <c r="A34">
        <v>1642359</v>
      </c>
      <c r="B34" t="s">
        <v>39</v>
      </c>
      <c r="C34">
        <v>0</v>
      </c>
      <c r="D34">
        <v>1610612752</v>
      </c>
      <c r="E34" t="s">
        <v>41</v>
      </c>
      <c r="F34">
        <v>19</v>
      </c>
      <c r="G34">
        <v>18</v>
      </c>
      <c r="H34">
        <v>0</v>
      </c>
      <c r="I34">
        <v>111</v>
      </c>
      <c r="J34">
        <v>10</v>
      </c>
      <c r="K34">
        <v>31</v>
      </c>
      <c r="L34">
        <v>0.32300000000000001</v>
      </c>
      <c r="M34">
        <v>6</v>
      </c>
      <c r="N34">
        <v>19</v>
      </c>
      <c r="O34">
        <v>0.316</v>
      </c>
      <c r="P34">
        <v>4</v>
      </c>
      <c r="Q34">
        <v>6</v>
      </c>
      <c r="R34">
        <v>0.66700000000000004</v>
      </c>
      <c r="S34">
        <v>3</v>
      </c>
      <c r="T34">
        <v>15</v>
      </c>
      <c r="U34">
        <v>18</v>
      </c>
      <c r="V34">
        <v>5</v>
      </c>
      <c r="W34">
        <v>3</v>
      </c>
      <c r="X34">
        <v>2</v>
      </c>
      <c r="Y34">
        <v>4</v>
      </c>
      <c r="Z34">
        <v>7</v>
      </c>
      <c r="AA34">
        <v>30</v>
      </c>
      <c r="AB34" t="str">
        <f t="shared" ref="AB34:AB65" si="1">_xlfn.XLOOKUP(A34,$AE$7:$AE$24,$AF$7:$AF$24,"???")</f>
        <v>Pacôme Dadiet</v>
      </c>
    </row>
    <row r="35" spans="1:28" x14ac:dyDescent="0.25">
      <c r="A35">
        <v>1642359</v>
      </c>
      <c r="B35" t="s">
        <v>40</v>
      </c>
      <c r="C35">
        <v>0</v>
      </c>
      <c r="D35">
        <v>1610612752</v>
      </c>
      <c r="E35" t="s">
        <v>41</v>
      </c>
      <c r="F35">
        <v>20</v>
      </c>
      <c r="G35">
        <v>29</v>
      </c>
      <c r="H35">
        <v>0</v>
      </c>
      <c r="I35">
        <v>136</v>
      </c>
      <c r="J35">
        <v>16</v>
      </c>
      <c r="K35">
        <v>48</v>
      </c>
      <c r="L35">
        <v>0.33300000000000002</v>
      </c>
      <c r="M35">
        <v>7</v>
      </c>
      <c r="N35">
        <v>32</v>
      </c>
      <c r="O35">
        <v>0.219</v>
      </c>
      <c r="P35">
        <v>9</v>
      </c>
      <c r="Q35">
        <v>11</v>
      </c>
      <c r="R35">
        <v>0.81799999999999995</v>
      </c>
      <c r="S35">
        <v>4</v>
      </c>
      <c r="T35">
        <v>23</v>
      </c>
      <c r="U35">
        <v>27</v>
      </c>
      <c r="V35">
        <v>12</v>
      </c>
      <c r="W35">
        <v>3</v>
      </c>
      <c r="X35">
        <v>1</v>
      </c>
      <c r="Y35">
        <v>3</v>
      </c>
      <c r="Z35">
        <v>8</v>
      </c>
      <c r="AA35">
        <v>48</v>
      </c>
      <c r="AB35" t="str">
        <f t="shared" si="1"/>
        <v>Pacôme Dadiet</v>
      </c>
    </row>
    <row r="36" spans="1:28" x14ac:dyDescent="0.25">
      <c r="A36">
        <v>1630631</v>
      </c>
      <c r="B36" t="s">
        <v>36</v>
      </c>
      <c r="C36">
        <v>0</v>
      </c>
      <c r="D36">
        <v>1610612740</v>
      </c>
      <c r="E36" t="s">
        <v>43</v>
      </c>
      <c r="F36">
        <v>24</v>
      </c>
      <c r="G36">
        <v>54</v>
      </c>
      <c r="H36">
        <v>1</v>
      </c>
      <c r="I36">
        <v>834</v>
      </c>
      <c r="J36">
        <v>131</v>
      </c>
      <c r="K36">
        <v>294</v>
      </c>
      <c r="L36">
        <v>0.44600000000000001</v>
      </c>
      <c r="M36">
        <v>32</v>
      </c>
      <c r="N36">
        <v>110</v>
      </c>
      <c r="O36">
        <v>0.29099999999999998</v>
      </c>
      <c r="P36">
        <v>36</v>
      </c>
      <c r="Q36">
        <v>53</v>
      </c>
      <c r="R36">
        <v>0.67900000000000005</v>
      </c>
      <c r="S36">
        <v>25</v>
      </c>
      <c r="T36">
        <v>75</v>
      </c>
      <c r="U36">
        <v>100</v>
      </c>
      <c r="V36">
        <v>152</v>
      </c>
      <c r="W36">
        <v>71</v>
      </c>
      <c r="X36">
        <v>7</v>
      </c>
      <c r="Y36">
        <v>40</v>
      </c>
      <c r="Z36">
        <v>73</v>
      </c>
      <c r="AA36">
        <v>330</v>
      </c>
      <c r="AB36" t="str">
        <f t="shared" si="1"/>
        <v>Jose Alvarado</v>
      </c>
    </row>
    <row r="37" spans="1:28" x14ac:dyDescent="0.25">
      <c r="A37">
        <v>1630631</v>
      </c>
      <c r="B37" t="s">
        <v>37</v>
      </c>
      <c r="C37">
        <v>0</v>
      </c>
      <c r="D37">
        <v>1610612740</v>
      </c>
      <c r="E37" t="s">
        <v>43</v>
      </c>
      <c r="F37">
        <v>25</v>
      </c>
      <c r="G37">
        <v>61</v>
      </c>
      <c r="H37">
        <v>10</v>
      </c>
      <c r="I37">
        <v>1310</v>
      </c>
      <c r="J37">
        <v>201</v>
      </c>
      <c r="K37">
        <v>489</v>
      </c>
      <c r="L37">
        <v>0.41099999999999998</v>
      </c>
      <c r="M37">
        <v>83</v>
      </c>
      <c r="N37">
        <v>247</v>
      </c>
      <c r="O37">
        <v>0.33600000000000002</v>
      </c>
      <c r="P37">
        <v>65</v>
      </c>
      <c r="Q37">
        <v>80</v>
      </c>
      <c r="R37">
        <v>0.81299999999999994</v>
      </c>
      <c r="S37">
        <v>28</v>
      </c>
      <c r="T37">
        <v>113</v>
      </c>
      <c r="U37">
        <v>141</v>
      </c>
      <c r="V37">
        <v>186</v>
      </c>
      <c r="W37">
        <v>67</v>
      </c>
      <c r="X37">
        <v>10</v>
      </c>
      <c r="Y37">
        <v>81</v>
      </c>
      <c r="Z37">
        <v>125</v>
      </c>
      <c r="AA37">
        <v>550</v>
      </c>
      <c r="AB37" t="str">
        <f t="shared" si="1"/>
        <v>Jose Alvarado</v>
      </c>
    </row>
    <row r="38" spans="1:28" x14ac:dyDescent="0.25">
      <c r="A38">
        <v>1630631</v>
      </c>
      <c r="B38" t="s">
        <v>38</v>
      </c>
      <c r="C38">
        <v>0</v>
      </c>
      <c r="D38">
        <v>1610612740</v>
      </c>
      <c r="E38" t="s">
        <v>43</v>
      </c>
      <c r="F38">
        <v>26</v>
      </c>
      <c r="G38">
        <v>56</v>
      </c>
      <c r="H38">
        <v>0</v>
      </c>
      <c r="I38">
        <v>1028</v>
      </c>
      <c r="J38">
        <v>142</v>
      </c>
      <c r="K38">
        <v>345</v>
      </c>
      <c r="L38">
        <v>0.41199999999999998</v>
      </c>
      <c r="M38">
        <v>78</v>
      </c>
      <c r="N38">
        <v>207</v>
      </c>
      <c r="O38">
        <v>0.377</v>
      </c>
      <c r="P38">
        <v>35</v>
      </c>
      <c r="Q38">
        <v>52</v>
      </c>
      <c r="R38">
        <v>0.67300000000000004</v>
      </c>
      <c r="S38">
        <v>25</v>
      </c>
      <c r="T38">
        <v>103</v>
      </c>
      <c r="U38">
        <v>128</v>
      </c>
      <c r="V38">
        <v>117</v>
      </c>
      <c r="W38">
        <v>59</v>
      </c>
      <c r="X38">
        <v>15</v>
      </c>
      <c r="Y38">
        <v>40</v>
      </c>
      <c r="Z38">
        <v>89</v>
      </c>
      <c r="AA38">
        <v>397</v>
      </c>
      <c r="AB38" t="str">
        <f t="shared" si="1"/>
        <v>Jose Alvarado</v>
      </c>
    </row>
    <row r="39" spans="1:28" x14ac:dyDescent="0.25">
      <c r="A39">
        <v>1630631</v>
      </c>
      <c r="B39" t="s">
        <v>39</v>
      </c>
      <c r="C39">
        <v>0</v>
      </c>
      <c r="D39">
        <v>1610612740</v>
      </c>
      <c r="E39" t="s">
        <v>43</v>
      </c>
      <c r="F39">
        <v>27</v>
      </c>
      <c r="G39">
        <v>56</v>
      </c>
      <c r="H39">
        <v>23</v>
      </c>
      <c r="I39">
        <v>1366</v>
      </c>
      <c r="J39">
        <v>204</v>
      </c>
      <c r="K39">
        <v>521</v>
      </c>
      <c r="L39">
        <v>0.39200000000000002</v>
      </c>
      <c r="M39">
        <v>111</v>
      </c>
      <c r="N39">
        <v>309</v>
      </c>
      <c r="O39">
        <v>0.35899999999999999</v>
      </c>
      <c r="P39">
        <v>60</v>
      </c>
      <c r="Q39">
        <v>74</v>
      </c>
      <c r="R39">
        <v>0.81100000000000005</v>
      </c>
      <c r="S39">
        <v>27</v>
      </c>
      <c r="T39">
        <v>109</v>
      </c>
      <c r="U39">
        <v>136</v>
      </c>
      <c r="V39">
        <v>259</v>
      </c>
      <c r="W39">
        <v>74</v>
      </c>
      <c r="X39">
        <v>14</v>
      </c>
      <c r="Y39">
        <v>86</v>
      </c>
      <c r="Z39">
        <v>91</v>
      </c>
      <c r="AA39">
        <v>579</v>
      </c>
      <c r="AB39" t="str">
        <f t="shared" si="1"/>
        <v>Jose Alvarado</v>
      </c>
    </row>
    <row r="40" spans="1:28" x14ac:dyDescent="0.25">
      <c r="A40">
        <v>1630631</v>
      </c>
      <c r="B40" t="s">
        <v>40</v>
      </c>
      <c r="C40">
        <v>0</v>
      </c>
      <c r="D40">
        <v>1610612740</v>
      </c>
      <c r="E40" t="s">
        <v>43</v>
      </c>
      <c r="F40">
        <v>28</v>
      </c>
      <c r="G40">
        <v>41</v>
      </c>
      <c r="H40">
        <v>0</v>
      </c>
      <c r="I40">
        <v>896</v>
      </c>
      <c r="J40">
        <v>117</v>
      </c>
      <c r="K40">
        <v>280</v>
      </c>
      <c r="L40">
        <v>0.41799999999999998</v>
      </c>
      <c r="M40">
        <v>70</v>
      </c>
      <c r="N40">
        <v>193</v>
      </c>
      <c r="O40">
        <v>0.36299999999999999</v>
      </c>
      <c r="P40">
        <v>20</v>
      </c>
      <c r="Q40">
        <v>24</v>
      </c>
      <c r="R40">
        <v>0.83299999999999996</v>
      </c>
      <c r="S40">
        <v>16</v>
      </c>
      <c r="T40">
        <v>98</v>
      </c>
      <c r="U40">
        <v>114</v>
      </c>
      <c r="V40">
        <v>128</v>
      </c>
      <c r="W40">
        <v>37</v>
      </c>
      <c r="X40">
        <v>4</v>
      </c>
      <c r="Y40">
        <v>47</v>
      </c>
      <c r="Z40">
        <v>80</v>
      </c>
      <c r="AA40">
        <v>324</v>
      </c>
      <c r="AB40" t="str">
        <f t="shared" si="1"/>
        <v>Jose Alvarado</v>
      </c>
    </row>
    <row r="41" spans="1:28" x14ac:dyDescent="0.25">
      <c r="A41">
        <v>1630631</v>
      </c>
      <c r="B41" t="s">
        <v>40</v>
      </c>
      <c r="C41">
        <v>0</v>
      </c>
      <c r="D41">
        <v>1610612752</v>
      </c>
      <c r="E41" t="s">
        <v>41</v>
      </c>
      <c r="F41">
        <v>28</v>
      </c>
      <c r="G41">
        <v>28</v>
      </c>
      <c r="H41">
        <v>3</v>
      </c>
      <c r="I41">
        <v>474</v>
      </c>
      <c r="J41">
        <v>70</v>
      </c>
      <c r="K41">
        <v>169</v>
      </c>
      <c r="L41">
        <v>0.41399999999999998</v>
      </c>
      <c r="M41">
        <v>31</v>
      </c>
      <c r="N41">
        <v>94</v>
      </c>
      <c r="O41">
        <v>0.33</v>
      </c>
      <c r="P41">
        <v>15</v>
      </c>
      <c r="Q41">
        <v>22</v>
      </c>
      <c r="R41">
        <v>0.68200000000000005</v>
      </c>
      <c r="S41">
        <v>10</v>
      </c>
      <c r="T41">
        <v>47</v>
      </c>
      <c r="U41">
        <v>57</v>
      </c>
      <c r="V41">
        <v>106</v>
      </c>
      <c r="W41">
        <v>29</v>
      </c>
      <c r="X41">
        <v>4</v>
      </c>
      <c r="Y41">
        <v>30</v>
      </c>
      <c r="Z41">
        <v>49</v>
      </c>
      <c r="AA41">
        <v>186</v>
      </c>
      <c r="AB41" t="str">
        <f t="shared" si="1"/>
        <v>Jose Alvarado</v>
      </c>
    </row>
    <row r="42" spans="1:28" x14ac:dyDescent="0.25">
      <c r="A42">
        <v>1628384</v>
      </c>
      <c r="B42" t="s">
        <v>30</v>
      </c>
      <c r="C42">
        <v>0</v>
      </c>
      <c r="D42">
        <v>1610612761</v>
      </c>
      <c r="E42" t="s">
        <v>45</v>
      </c>
      <c r="F42">
        <v>20</v>
      </c>
      <c r="G42">
        <v>74</v>
      </c>
      <c r="H42">
        <v>62</v>
      </c>
      <c r="I42">
        <v>1481</v>
      </c>
      <c r="J42">
        <v>163</v>
      </c>
      <c r="K42">
        <v>346</v>
      </c>
      <c r="L42">
        <v>0.47099999999999997</v>
      </c>
      <c r="M42">
        <v>73</v>
      </c>
      <c r="N42">
        <v>197</v>
      </c>
      <c r="O42">
        <v>0.371</v>
      </c>
      <c r="P42">
        <v>39</v>
      </c>
      <c r="Q42">
        <v>62</v>
      </c>
      <c r="R42">
        <v>0.629</v>
      </c>
      <c r="S42">
        <v>44</v>
      </c>
      <c r="T42">
        <v>140</v>
      </c>
      <c r="U42">
        <v>184</v>
      </c>
      <c r="V42">
        <v>55</v>
      </c>
      <c r="W42">
        <v>52</v>
      </c>
      <c r="X42">
        <v>14</v>
      </c>
      <c r="Y42">
        <v>45</v>
      </c>
      <c r="Z42">
        <v>130</v>
      </c>
      <c r="AA42">
        <v>438</v>
      </c>
      <c r="AB42" t="str">
        <f t="shared" si="1"/>
        <v>OG Anunoby</v>
      </c>
    </row>
    <row r="43" spans="1:28" x14ac:dyDescent="0.25">
      <c r="A43">
        <v>1628384</v>
      </c>
      <c r="B43" t="s">
        <v>32</v>
      </c>
      <c r="C43">
        <v>0</v>
      </c>
      <c r="D43">
        <v>1610612761</v>
      </c>
      <c r="E43" t="s">
        <v>45</v>
      </c>
      <c r="F43">
        <v>21</v>
      </c>
      <c r="G43">
        <v>67</v>
      </c>
      <c r="H43">
        <v>6</v>
      </c>
      <c r="I43">
        <v>1352</v>
      </c>
      <c r="J43">
        <v>183</v>
      </c>
      <c r="K43">
        <v>404</v>
      </c>
      <c r="L43">
        <v>0.45300000000000001</v>
      </c>
      <c r="M43">
        <v>67</v>
      </c>
      <c r="N43">
        <v>202</v>
      </c>
      <c r="O43">
        <v>0.33200000000000002</v>
      </c>
      <c r="P43">
        <v>36</v>
      </c>
      <c r="Q43">
        <v>62</v>
      </c>
      <c r="R43">
        <v>0.58099999999999996</v>
      </c>
      <c r="S43">
        <v>58</v>
      </c>
      <c r="T43">
        <v>139</v>
      </c>
      <c r="U43">
        <v>197</v>
      </c>
      <c r="V43">
        <v>47</v>
      </c>
      <c r="W43">
        <v>46</v>
      </c>
      <c r="X43">
        <v>22</v>
      </c>
      <c r="Y43">
        <v>55</v>
      </c>
      <c r="Z43">
        <v>140</v>
      </c>
      <c r="AA43">
        <v>469</v>
      </c>
      <c r="AB43" t="str">
        <f t="shared" si="1"/>
        <v>OG Anunoby</v>
      </c>
    </row>
    <row r="44" spans="1:28" x14ac:dyDescent="0.25">
      <c r="A44">
        <v>1628384</v>
      </c>
      <c r="B44" t="s">
        <v>33</v>
      </c>
      <c r="C44">
        <v>0</v>
      </c>
      <c r="D44">
        <v>1610612761</v>
      </c>
      <c r="E44" t="s">
        <v>45</v>
      </c>
      <c r="F44">
        <v>22</v>
      </c>
      <c r="G44">
        <v>69</v>
      </c>
      <c r="H44">
        <v>68</v>
      </c>
      <c r="I44">
        <v>2066</v>
      </c>
      <c r="J44">
        <v>286</v>
      </c>
      <c r="K44">
        <v>566</v>
      </c>
      <c r="L44">
        <v>0.505</v>
      </c>
      <c r="M44">
        <v>89</v>
      </c>
      <c r="N44">
        <v>228</v>
      </c>
      <c r="O44">
        <v>0.39</v>
      </c>
      <c r="P44">
        <v>72</v>
      </c>
      <c r="Q44">
        <v>102</v>
      </c>
      <c r="R44">
        <v>0.70599999999999996</v>
      </c>
      <c r="S44">
        <v>80</v>
      </c>
      <c r="T44">
        <v>284</v>
      </c>
      <c r="U44">
        <v>364</v>
      </c>
      <c r="V44">
        <v>108</v>
      </c>
      <c r="W44">
        <v>96</v>
      </c>
      <c r="X44">
        <v>45</v>
      </c>
      <c r="Y44">
        <v>79</v>
      </c>
      <c r="Z44">
        <v>167</v>
      </c>
      <c r="AA44">
        <v>733</v>
      </c>
      <c r="AB44" t="str">
        <f t="shared" si="1"/>
        <v>OG Anunoby</v>
      </c>
    </row>
    <row r="45" spans="1:28" x14ac:dyDescent="0.25">
      <c r="A45">
        <v>1628384</v>
      </c>
      <c r="B45" t="s">
        <v>35</v>
      </c>
      <c r="C45">
        <v>0</v>
      </c>
      <c r="D45">
        <v>1610612761</v>
      </c>
      <c r="E45" t="s">
        <v>45</v>
      </c>
      <c r="F45">
        <v>23</v>
      </c>
      <c r="G45">
        <v>43</v>
      </c>
      <c r="H45">
        <v>43</v>
      </c>
      <c r="I45">
        <v>1433</v>
      </c>
      <c r="J45">
        <v>249</v>
      </c>
      <c r="K45">
        <v>519</v>
      </c>
      <c r="L45">
        <v>0.48</v>
      </c>
      <c r="M45">
        <v>104</v>
      </c>
      <c r="N45">
        <v>261</v>
      </c>
      <c r="O45">
        <v>0.39800000000000002</v>
      </c>
      <c r="P45">
        <v>80</v>
      </c>
      <c r="Q45">
        <v>102</v>
      </c>
      <c r="R45">
        <v>0.78400000000000003</v>
      </c>
      <c r="S45">
        <v>54</v>
      </c>
      <c r="T45">
        <v>183</v>
      </c>
      <c r="U45">
        <v>237</v>
      </c>
      <c r="V45">
        <v>94</v>
      </c>
      <c r="W45">
        <v>66</v>
      </c>
      <c r="X45">
        <v>32</v>
      </c>
      <c r="Y45">
        <v>75</v>
      </c>
      <c r="Z45">
        <v>114</v>
      </c>
      <c r="AA45">
        <v>682</v>
      </c>
      <c r="AB45" t="str">
        <f t="shared" si="1"/>
        <v>OG Anunoby</v>
      </c>
    </row>
    <row r="46" spans="1:28" x14ac:dyDescent="0.25">
      <c r="A46">
        <v>1628384</v>
      </c>
      <c r="B46" t="s">
        <v>36</v>
      </c>
      <c r="C46">
        <v>0</v>
      </c>
      <c r="D46">
        <v>1610612761</v>
      </c>
      <c r="E46" t="s">
        <v>45</v>
      </c>
      <c r="F46">
        <v>24</v>
      </c>
      <c r="G46">
        <v>48</v>
      </c>
      <c r="H46">
        <v>48</v>
      </c>
      <c r="I46">
        <v>1728</v>
      </c>
      <c r="J46">
        <v>309</v>
      </c>
      <c r="K46">
        <v>697</v>
      </c>
      <c r="L46">
        <v>0.443</v>
      </c>
      <c r="M46">
        <v>115</v>
      </c>
      <c r="N46">
        <v>317</v>
      </c>
      <c r="O46">
        <v>0.36299999999999999</v>
      </c>
      <c r="P46">
        <v>89</v>
      </c>
      <c r="Q46">
        <v>118</v>
      </c>
      <c r="R46">
        <v>0.754</v>
      </c>
      <c r="S46">
        <v>74</v>
      </c>
      <c r="T46">
        <v>190</v>
      </c>
      <c r="U46">
        <v>264</v>
      </c>
      <c r="V46">
        <v>125</v>
      </c>
      <c r="W46">
        <v>71</v>
      </c>
      <c r="X46">
        <v>25</v>
      </c>
      <c r="Y46">
        <v>80</v>
      </c>
      <c r="Z46">
        <v>131</v>
      </c>
      <c r="AA46">
        <v>822</v>
      </c>
      <c r="AB46" t="str">
        <f t="shared" si="1"/>
        <v>OG Anunoby</v>
      </c>
    </row>
    <row r="47" spans="1:28" x14ac:dyDescent="0.25">
      <c r="A47">
        <v>1628384</v>
      </c>
      <c r="B47" t="s">
        <v>37</v>
      </c>
      <c r="C47">
        <v>0</v>
      </c>
      <c r="D47">
        <v>1610612761</v>
      </c>
      <c r="E47" t="s">
        <v>45</v>
      </c>
      <c r="F47">
        <v>25</v>
      </c>
      <c r="G47">
        <v>67</v>
      </c>
      <c r="H47">
        <v>67</v>
      </c>
      <c r="I47">
        <v>2386</v>
      </c>
      <c r="J47">
        <v>421</v>
      </c>
      <c r="K47">
        <v>885</v>
      </c>
      <c r="L47">
        <v>0.47599999999999998</v>
      </c>
      <c r="M47">
        <v>142</v>
      </c>
      <c r="N47">
        <v>367</v>
      </c>
      <c r="O47">
        <v>0.38700000000000001</v>
      </c>
      <c r="P47">
        <v>140</v>
      </c>
      <c r="Q47">
        <v>167</v>
      </c>
      <c r="R47">
        <v>0.83799999999999997</v>
      </c>
      <c r="S47">
        <v>95</v>
      </c>
      <c r="T47">
        <v>237</v>
      </c>
      <c r="U47">
        <v>332</v>
      </c>
      <c r="V47">
        <v>131</v>
      </c>
      <c r="W47">
        <v>128</v>
      </c>
      <c r="X47">
        <v>50</v>
      </c>
      <c r="Y47">
        <v>132</v>
      </c>
      <c r="Z47">
        <v>200</v>
      </c>
      <c r="AA47">
        <v>1124</v>
      </c>
      <c r="AB47" t="str">
        <f t="shared" si="1"/>
        <v>OG Anunoby</v>
      </c>
    </row>
    <row r="48" spans="1:28" x14ac:dyDescent="0.25">
      <c r="A48">
        <v>1628384</v>
      </c>
      <c r="B48" t="s">
        <v>38</v>
      </c>
      <c r="C48">
        <v>0</v>
      </c>
      <c r="D48">
        <v>1610612761</v>
      </c>
      <c r="E48" t="s">
        <v>45</v>
      </c>
      <c r="F48">
        <v>26</v>
      </c>
      <c r="G48">
        <v>27</v>
      </c>
      <c r="H48">
        <v>27</v>
      </c>
      <c r="I48">
        <v>900</v>
      </c>
      <c r="J48">
        <v>157</v>
      </c>
      <c r="K48">
        <v>321</v>
      </c>
      <c r="L48">
        <v>0.48899999999999999</v>
      </c>
      <c r="M48">
        <v>61</v>
      </c>
      <c r="N48">
        <v>163</v>
      </c>
      <c r="O48">
        <v>0.374</v>
      </c>
      <c r="P48">
        <v>33</v>
      </c>
      <c r="Q48">
        <v>46</v>
      </c>
      <c r="R48">
        <v>0.71699999999999997</v>
      </c>
      <c r="S48">
        <v>24</v>
      </c>
      <c r="T48">
        <v>82</v>
      </c>
      <c r="U48">
        <v>106</v>
      </c>
      <c r="V48">
        <v>72</v>
      </c>
      <c r="W48">
        <v>28</v>
      </c>
      <c r="X48">
        <v>13</v>
      </c>
      <c r="Y48">
        <v>43</v>
      </c>
      <c r="Z48">
        <v>62</v>
      </c>
      <c r="AA48">
        <v>408</v>
      </c>
      <c r="AB48" t="str">
        <f t="shared" si="1"/>
        <v>OG Anunoby</v>
      </c>
    </row>
    <row r="49" spans="1:28" x14ac:dyDescent="0.25">
      <c r="A49">
        <v>1628384</v>
      </c>
      <c r="B49" t="s">
        <v>38</v>
      </c>
      <c r="C49">
        <v>0</v>
      </c>
      <c r="D49">
        <v>1610612752</v>
      </c>
      <c r="E49" t="s">
        <v>41</v>
      </c>
      <c r="F49">
        <v>26</v>
      </c>
      <c r="G49">
        <v>23</v>
      </c>
      <c r="H49">
        <v>23</v>
      </c>
      <c r="I49">
        <v>802</v>
      </c>
      <c r="J49">
        <v>125</v>
      </c>
      <c r="K49">
        <v>256</v>
      </c>
      <c r="L49">
        <v>0.48799999999999999</v>
      </c>
      <c r="M49">
        <v>41</v>
      </c>
      <c r="N49">
        <v>104</v>
      </c>
      <c r="O49">
        <v>0.39400000000000002</v>
      </c>
      <c r="P49">
        <v>34</v>
      </c>
      <c r="Q49">
        <v>43</v>
      </c>
      <c r="R49">
        <v>0.79100000000000004</v>
      </c>
      <c r="S49">
        <v>23</v>
      </c>
      <c r="T49">
        <v>79</v>
      </c>
      <c r="U49">
        <v>102</v>
      </c>
      <c r="V49">
        <v>35</v>
      </c>
      <c r="W49">
        <v>40</v>
      </c>
      <c r="X49">
        <v>23</v>
      </c>
      <c r="Y49">
        <v>38</v>
      </c>
      <c r="Z49">
        <v>57</v>
      </c>
      <c r="AA49">
        <v>325</v>
      </c>
      <c r="AB49" t="str">
        <f t="shared" si="1"/>
        <v>OG Anunoby</v>
      </c>
    </row>
    <row r="50" spans="1:28" x14ac:dyDescent="0.25">
      <c r="A50">
        <v>1628384</v>
      </c>
      <c r="B50" t="s">
        <v>39</v>
      </c>
      <c r="C50">
        <v>0</v>
      </c>
      <c r="D50">
        <v>1610612752</v>
      </c>
      <c r="E50" t="s">
        <v>41</v>
      </c>
      <c r="F50">
        <v>27</v>
      </c>
      <c r="G50">
        <v>74</v>
      </c>
      <c r="H50">
        <v>74</v>
      </c>
      <c r="I50">
        <v>2706</v>
      </c>
      <c r="J50">
        <v>489</v>
      </c>
      <c r="K50">
        <v>1027</v>
      </c>
      <c r="L50">
        <v>0.47599999999999998</v>
      </c>
      <c r="M50">
        <v>171</v>
      </c>
      <c r="N50">
        <v>460</v>
      </c>
      <c r="O50">
        <v>0.372</v>
      </c>
      <c r="P50">
        <v>183</v>
      </c>
      <c r="Q50">
        <v>226</v>
      </c>
      <c r="R50">
        <v>0.81</v>
      </c>
      <c r="S50">
        <v>97</v>
      </c>
      <c r="T50">
        <v>261</v>
      </c>
      <c r="U50">
        <v>358</v>
      </c>
      <c r="V50">
        <v>164</v>
      </c>
      <c r="W50">
        <v>110</v>
      </c>
      <c r="X50">
        <v>65</v>
      </c>
      <c r="Y50">
        <v>102</v>
      </c>
      <c r="Z50">
        <v>172</v>
      </c>
      <c r="AA50">
        <v>1332</v>
      </c>
      <c r="AB50" t="str">
        <f t="shared" si="1"/>
        <v>OG Anunoby</v>
      </c>
    </row>
    <row r="51" spans="1:28" x14ac:dyDescent="0.25">
      <c r="A51">
        <v>1628384</v>
      </c>
      <c r="B51" t="s">
        <v>40</v>
      </c>
      <c r="C51">
        <v>0</v>
      </c>
      <c r="D51">
        <v>1610612752</v>
      </c>
      <c r="E51" t="s">
        <v>41</v>
      </c>
      <c r="F51">
        <v>28</v>
      </c>
      <c r="G51">
        <v>67</v>
      </c>
      <c r="H51">
        <v>67</v>
      </c>
      <c r="I51">
        <v>2224</v>
      </c>
      <c r="J51">
        <v>389</v>
      </c>
      <c r="K51">
        <v>804</v>
      </c>
      <c r="L51">
        <v>0.48399999999999999</v>
      </c>
      <c r="M51">
        <v>157</v>
      </c>
      <c r="N51">
        <v>407</v>
      </c>
      <c r="O51">
        <v>0.38600000000000001</v>
      </c>
      <c r="P51">
        <v>183</v>
      </c>
      <c r="Q51">
        <v>221</v>
      </c>
      <c r="R51">
        <v>0.82799999999999996</v>
      </c>
      <c r="S51">
        <v>85</v>
      </c>
      <c r="T51">
        <v>266</v>
      </c>
      <c r="U51">
        <v>351</v>
      </c>
      <c r="V51">
        <v>145</v>
      </c>
      <c r="W51">
        <v>104</v>
      </c>
      <c r="X51">
        <v>48</v>
      </c>
      <c r="Y51">
        <v>123</v>
      </c>
      <c r="Z51">
        <v>164</v>
      </c>
      <c r="AA51">
        <v>1118</v>
      </c>
      <c r="AB51" t="str">
        <f t="shared" si="1"/>
        <v>OG Anunoby</v>
      </c>
    </row>
    <row r="52" spans="1:28" x14ac:dyDescent="0.25">
      <c r="A52">
        <v>1641755</v>
      </c>
      <c r="B52" t="s">
        <v>39</v>
      </c>
      <c r="C52">
        <v>0</v>
      </c>
      <c r="D52">
        <v>1610612752</v>
      </c>
      <c r="E52" t="s">
        <v>41</v>
      </c>
      <c r="F52">
        <v>24</v>
      </c>
      <c r="G52">
        <v>4</v>
      </c>
      <c r="H52">
        <v>0</v>
      </c>
      <c r="I52">
        <v>29</v>
      </c>
      <c r="J52">
        <v>2</v>
      </c>
      <c r="K52">
        <v>7</v>
      </c>
      <c r="L52">
        <v>0.28599999999999998</v>
      </c>
      <c r="M52">
        <v>0</v>
      </c>
      <c r="N52">
        <v>1</v>
      </c>
      <c r="O52">
        <v>0</v>
      </c>
      <c r="P52">
        <v>2</v>
      </c>
      <c r="Q52">
        <v>2</v>
      </c>
      <c r="R52">
        <v>1</v>
      </c>
      <c r="S52">
        <v>0</v>
      </c>
      <c r="T52">
        <v>8</v>
      </c>
      <c r="U52">
        <v>8</v>
      </c>
      <c r="V52">
        <v>2</v>
      </c>
      <c r="W52">
        <v>1</v>
      </c>
      <c r="X52">
        <v>1</v>
      </c>
      <c r="Y52">
        <v>0</v>
      </c>
      <c r="Z52">
        <v>6</v>
      </c>
      <c r="AA52">
        <v>6</v>
      </c>
      <c r="AB52" t="str">
        <f t="shared" si="1"/>
        <v>Kevin McCullar Jr.</v>
      </c>
    </row>
    <row r="53" spans="1:28" x14ac:dyDescent="0.25">
      <c r="A53">
        <v>1641755</v>
      </c>
      <c r="B53" t="s">
        <v>40</v>
      </c>
      <c r="C53">
        <v>0</v>
      </c>
      <c r="D53">
        <v>1610612752</v>
      </c>
      <c r="E53" t="s">
        <v>41</v>
      </c>
      <c r="F53">
        <v>25</v>
      </c>
      <c r="G53">
        <v>21</v>
      </c>
      <c r="H53">
        <v>0</v>
      </c>
      <c r="I53">
        <v>155</v>
      </c>
      <c r="J53">
        <v>20</v>
      </c>
      <c r="K53">
        <v>47</v>
      </c>
      <c r="L53">
        <v>0.42599999999999999</v>
      </c>
      <c r="M53">
        <v>8</v>
      </c>
      <c r="N53">
        <v>24</v>
      </c>
      <c r="O53">
        <v>0.33300000000000002</v>
      </c>
      <c r="P53">
        <v>2</v>
      </c>
      <c r="Q53">
        <v>5</v>
      </c>
      <c r="R53">
        <v>0.4</v>
      </c>
      <c r="S53">
        <v>11</v>
      </c>
      <c r="T53">
        <v>17</v>
      </c>
      <c r="U53">
        <v>28</v>
      </c>
      <c r="V53">
        <v>20</v>
      </c>
      <c r="W53">
        <v>9</v>
      </c>
      <c r="X53">
        <v>0</v>
      </c>
      <c r="Y53">
        <v>12</v>
      </c>
      <c r="Z53">
        <v>22</v>
      </c>
      <c r="AA53">
        <v>50</v>
      </c>
      <c r="AB53" t="str">
        <f t="shared" si="1"/>
        <v>Kevin McCullar Jr.</v>
      </c>
    </row>
    <row r="54" spans="1:28" x14ac:dyDescent="0.25">
      <c r="A54">
        <v>1628973</v>
      </c>
      <c r="B54" t="s">
        <v>32</v>
      </c>
      <c r="C54">
        <v>0</v>
      </c>
      <c r="D54">
        <v>1610612742</v>
      </c>
      <c r="E54" t="s">
        <v>46</v>
      </c>
      <c r="F54">
        <v>22</v>
      </c>
      <c r="G54">
        <v>73</v>
      </c>
      <c r="H54">
        <v>38</v>
      </c>
      <c r="I54">
        <v>1591</v>
      </c>
      <c r="J54">
        <v>264</v>
      </c>
      <c r="K54">
        <v>565</v>
      </c>
      <c r="L54">
        <v>0.46700000000000003</v>
      </c>
      <c r="M54">
        <v>63</v>
      </c>
      <c r="N54">
        <v>181</v>
      </c>
      <c r="O54">
        <v>0.34799999999999998</v>
      </c>
      <c r="P54">
        <v>87</v>
      </c>
      <c r="Q54">
        <v>120</v>
      </c>
      <c r="R54">
        <v>0.72499999999999998</v>
      </c>
      <c r="S54">
        <v>25</v>
      </c>
      <c r="T54">
        <v>144</v>
      </c>
      <c r="U54">
        <v>169</v>
      </c>
      <c r="V54">
        <v>230</v>
      </c>
      <c r="W54">
        <v>37</v>
      </c>
      <c r="X54">
        <v>4</v>
      </c>
      <c r="Y54">
        <v>88</v>
      </c>
      <c r="Z54">
        <v>127</v>
      </c>
      <c r="AA54">
        <v>678</v>
      </c>
      <c r="AB54" t="str">
        <f t="shared" si="1"/>
        <v>Jalen Brunson</v>
      </c>
    </row>
    <row r="55" spans="1:28" x14ac:dyDescent="0.25">
      <c r="A55">
        <v>1628973</v>
      </c>
      <c r="B55" t="s">
        <v>33</v>
      </c>
      <c r="C55">
        <v>0</v>
      </c>
      <c r="D55">
        <v>1610612742</v>
      </c>
      <c r="E55" t="s">
        <v>46</v>
      </c>
      <c r="F55">
        <v>23</v>
      </c>
      <c r="G55">
        <v>57</v>
      </c>
      <c r="H55">
        <v>16</v>
      </c>
      <c r="I55">
        <v>1022</v>
      </c>
      <c r="J55">
        <v>181</v>
      </c>
      <c r="K55">
        <v>388</v>
      </c>
      <c r="L55">
        <v>0.46600000000000003</v>
      </c>
      <c r="M55">
        <v>43</v>
      </c>
      <c r="N55">
        <v>120</v>
      </c>
      <c r="O55">
        <v>0.35799999999999998</v>
      </c>
      <c r="P55">
        <v>61</v>
      </c>
      <c r="Q55">
        <v>75</v>
      </c>
      <c r="R55">
        <v>0.81299999999999994</v>
      </c>
      <c r="S55">
        <v>22</v>
      </c>
      <c r="T55">
        <v>112</v>
      </c>
      <c r="U55">
        <v>134</v>
      </c>
      <c r="V55">
        <v>188</v>
      </c>
      <c r="W55">
        <v>22</v>
      </c>
      <c r="X55">
        <v>4</v>
      </c>
      <c r="Y55">
        <v>66</v>
      </c>
      <c r="Z55">
        <v>74</v>
      </c>
      <c r="AA55">
        <v>466</v>
      </c>
      <c r="AB55" t="str">
        <f t="shared" si="1"/>
        <v>Jalen Brunson</v>
      </c>
    </row>
    <row r="56" spans="1:28" x14ac:dyDescent="0.25">
      <c r="A56">
        <v>1628973</v>
      </c>
      <c r="B56" t="s">
        <v>35</v>
      </c>
      <c r="C56">
        <v>0</v>
      </c>
      <c r="D56">
        <v>1610612742</v>
      </c>
      <c r="E56" t="s">
        <v>46</v>
      </c>
      <c r="F56">
        <v>24</v>
      </c>
      <c r="G56">
        <v>68</v>
      </c>
      <c r="H56">
        <v>12</v>
      </c>
      <c r="I56">
        <v>1697</v>
      </c>
      <c r="J56">
        <v>328</v>
      </c>
      <c r="K56">
        <v>627</v>
      </c>
      <c r="L56">
        <v>0.52300000000000002</v>
      </c>
      <c r="M56">
        <v>81</v>
      </c>
      <c r="N56">
        <v>200</v>
      </c>
      <c r="O56">
        <v>0.40500000000000003</v>
      </c>
      <c r="P56">
        <v>120</v>
      </c>
      <c r="Q56">
        <v>151</v>
      </c>
      <c r="R56">
        <v>0.79500000000000004</v>
      </c>
      <c r="S56">
        <v>27</v>
      </c>
      <c r="T56">
        <v>204</v>
      </c>
      <c r="U56">
        <v>231</v>
      </c>
      <c r="V56">
        <v>239</v>
      </c>
      <c r="W56">
        <v>35</v>
      </c>
      <c r="X56">
        <v>1</v>
      </c>
      <c r="Y56">
        <v>80</v>
      </c>
      <c r="Z56">
        <v>109</v>
      </c>
      <c r="AA56">
        <v>857</v>
      </c>
      <c r="AB56" t="str">
        <f t="shared" si="1"/>
        <v>Jalen Brunson</v>
      </c>
    </row>
    <row r="57" spans="1:28" x14ac:dyDescent="0.25">
      <c r="A57">
        <v>1628973</v>
      </c>
      <c r="B57" t="s">
        <v>36</v>
      </c>
      <c r="C57">
        <v>0</v>
      </c>
      <c r="D57">
        <v>1610612742</v>
      </c>
      <c r="E57" t="s">
        <v>46</v>
      </c>
      <c r="F57">
        <v>25</v>
      </c>
      <c r="G57">
        <v>79</v>
      </c>
      <c r="H57">
        <v>61</v>
      </c>
      <c r="I57">
        <v>2524</v>
      </c>
      <c r="J57">
        <v>506</v>
      </c>
      <c r="K57">
        <v>1008</v>
      </c>
      <c r="L57">
        <v>0.502</v>
      </c>
      <c r="M57">
        <v>94</v>
      </c>
      <c r="N57">
        <v>252</v>
      </c>
      <c r="O57">
        <v>0.373</v>
      </c>
      <c r="P57">
        <v>179</v>
      </c>
      <c r="Q57">
        <v>213</v>
      </c>
      <c r="R57">
        <v>0.84</v>
      </c>
      <c r="S57">
        <v>43</v>
      </c>
      <c r="T57">
        <v>266</v>
      </c>
      <c r="U57">
        <v>309</v>
      </c>
      <c r="V57">
        <v>377</v>
      </c>
      <c r="W57">
        <v>66</v>
      </c>
      <c r="X57">
        <v>3</v>
      </c>
      <c r="Y57">
        <v>124</v>
      </c>
      <c r="Z57">
        <v>151</v>
      </c>
      <c r="AA57">
        <v>1285</v>
      </c>
      <c r="AB57" t="str">
        <f t="shared" si="1"/>
        <v>Jalen Brunson</v>
      </c>
    </row>
    <row r="58" spans="1:28" x14ac:dyDescent="0.25">
      <c r="A58">
        <v>1628973</v>
      </c>
      <c r="B58" t="s">
        <v>37</v>
      </c>
      <c r="C58">
        <v>0</v>
      </c>
      <c r="D58">
        <v>1610612752</v>
      </c>
      <c r="E58" t="s">
        <v>41</v>
      </c>
      <c r="F58">
        <v>26</v>
      </c>
      <c r="G58">
        <v>68</v>
      </c>
      <c r="H58">
        <v>68</v>
      </c>
      <c r="I58">
        <v>2379</v>
      </c>
      <c r="J58">
        <v>587</v>
      </c>
      <c r="K58">
        <v>1195</v>
      </c>
      <c r="L58">
        <v>0.49099999999999999</v>
      </c>
      <c r="M58">
        <v>134</v>
      </c>
      <c r="N58">
        <v>322</v>
      </c>
      <c r="O58">
        <v>0.41599999999999998</v>
      </c>
      <c r="P58">
        <v>325</v>
      </c>
      <c r="Q58">
        <v>392</v>
      </c>
      <c r="R58">
        <v>0.82899999999999996</v>
      </c>
      <c r="S58">
        <v>40</v>
      </c>
      <c r="T58">
        <v>201</v>
      </c>
      <c r="U58">
        <v>241</v>
      </c>
      <c r="V58">
        <v>421</v>
      </c>
      <c r="W58">
        <v>61</v>
      </c>
      <c r="X58">
        <v>15</v>
      </c>
      <c r="Y58">
        <v>142</v>
      </c>
      <c r="Z58">
        <v>152</v>
      </c>
      <c r="AA58">
        <v>1633</v>
      </c>
      <c r="AB58" t="str">
        <f t="shared" si="1"/>
        <v>Jalen Brunson</v>
      </c>
    </row>
    <row r="59" spans="1:28" x14ac:dyDescent="0.25">
      <c r="A59">
        <v>1628973</v>
      </c>
      <c r="B59" t="s">
        <v>38</v>
      </c>
      <c r="C59">
        <v>0</v>
      </c>
      <c r="D59">
        <v>1610612752</v>
      </c>
      <c r="E59" t="s">
        <v>41</v>
      </c>
      <c r="F59">
        <v>27</v>
      </c>
      <c r="G59">
        <v>77</v>
      </c>
      <c r="H59">
        <v>77</v>
      </c>
      <c r="I59">
        <v>2726</v>
      </c>
      <c r="J59">
        <v>790</v>
      </c>
      <c r="K59">
        <v>1648</v>
      </c>
      <c r="L59">
        <v>0.47899999999999998</v>
      </c>
      <c r="M59">
        <v>211</v>
      </c>
      <c r="N59">
        <v>526</v>
      </c>
      <c r="O59">
        <v>0.40100000000000002</v>
      </c>
      <c r="P59">
        <v>421</v>
      </c>
      <c r="Q59">
        <v>497</v>
      </c>
      <c r="R59">
        <v>0.84699999999999998</v>
      </c>
      <c r="S59">
        <v>43</v>
      </c>
      <c r="T59">
        <v>235</v>
      </c>
      <c r="U59">
        <v>278</v>
      </c>
      <c r="V59">
        <v>519</v>
      </c>
      <c r="W59">
        <v>70</v>
      </c>
      <c r="X59">
        <v>13</v>
      </c>
      <c r="Y59">
        <v>186</v>
      </c>
      <c r="Z59">
        <v>144</v>
      </c>
      <c r="AA59">
        <v>2212</v>
      </c>
      <c r="AB59" t="str">
        <f t="shared" si="1"/>
        <v>Jalen Brunson</v>
      </c>
    </row>
    <row r="60" spans="1:28" x14ac:dyDescent="0.25">
      <c r="A60">
        <v>1628973</v>
      </c>
      <c r="B60" t="s">
        <v>39</v>
      </c>
      <c r="C60">
        <v>0</v>
      </c>
      <c r="D60">
        <v>1610612752</v>
      </c>
      <c r="E60" t="s">
        <v>41</v>
      </c>
      <c r="F60">
        <v>28</v>
      </c>
      <c r="G60">
        <v>65</v>
      </c>
      <c r="H60">
        <v>65</v>
      </c>
      <c r="I60">
        <v>2301</v>
      </c>
      <c r="J60">
        <v>585</v>
      </c>
      <c r="K60">
        <v>1200</v>
      </c>
      <c r="L60">
        <v>0.48699999999999999</v>
      </c>
      <c r="M60">
        <v>152</v>
      </c>
      <c r="N60">
        <v>397</v>
      </c>
      <c r="O60">
        <v>0.38300000000000001</v>
      </c>
      <c r="P60">
        <v>368</v>
      </c>
      <c r="Q60">
        <v>448</v>
      </c>
      <c r="R60">
        <v>0.82099999999999995</v>
      </c>
      <c r="S60">
        <v>27</v>
      </c>
      <c r="T60">
        <v>160</v>
      </c>
      <c r="U60">
        <v>187</v>
      </c>
      <c r="V60">
        <v>475</v>
      </c>
      <c r="W60">
        <v>60</v>
      </c>
      <c r="X60">
        <v>8</v>
      </c>
      <c r="Y60">
        <v>164</v>
      </c>
      <c r="Z60">
        <v>138</v>
      </c>
      <c r="AA60">
        <v>1690</v>
      </c>
      <c r="AB60" t="str">
        <f t="shared" si="1"/>
        <v>Jalen Brunson</v>
      </c>
    </row>
    <row r="61" spans="1:28" x14ac:dyDescent="0.25">
      <c r="A61">
        <v>1628973</v>
      </c>
      <c r="B61" t="s">
        <v>40</v>
      </c>
      <c r="C61">
        <v>0</v>
      </c>
      <c r="D61">
        <v>1610612752</v>
      </c>
      <c r="E61" t="s">
        <v>41</v>
      </c>
      <c r="F61">
        <v>29</v>
      </c>
      <c r="G61">
        <v>74</v>
      </c>
      <c r="H61">
        <v>74</v>
      </c>
      <c r="I61">
        <v>2590</v>
      </c>
      <c r="J61">
        <v>689</v>
      </c>
      <c r="K61">
        <v>1475</v>
      </c>
      <c r="L61">
        <v>0.46700000000000003</v>
      </c>
      <c r="M61">
        <v>195</v>
      </c>
      <c r="N61">
        <v>528</v>
      </c>
      <c r="O61">
        <v>0.36899999999999999</v>
      </c>
      <c r="P61">
        <v>354</v>
      </c>
      <c r="Q61">
        <v>421</v>
      </c>
      <c r="R61">
        <v>0.84099999999999997</v>
      </c>
      <c r="S61">
        <v>31</v>
      </c>
      <c r="T61">
        <v>216</v>
      </c>
      <c r="U61">
        <v>247</v>
      </c>
      <c r="V61">
        <v>503</v>
      </c>
      <c r="W61">
        <v>57</v>
      </c>
      <c r="X61">
        <v>8</v>
      </c>
      <c r="Y61">
        <v>175</v>
      </c>
      <c r="Z61">
        <v>170</v>
      </c>
      <c r="AA61">
        <v>1927</v>
      </c>
      <c r="AB61" t="str">
        <f t="shared" si="1"/>
        <v>Jalen Brunson</v>
      </c>
    </row>
    <row r="62" spans="1:28" x14ac:dyDescent="0.25">
      <c r="A62">
        <v>1642278</v>
      </c>
      <c r="B62" t="s">
        <v>39</v>
      </c>
      <c r="C62">
        <v>0</v>
      </c>
      <c r="D62">
        <v>1610612752</v>
      </c>
      <c r="E62" t="s">
        <v>41</v>
      </c>
      <c r="F62">
        <v>24</v>
      </c>
      <c r="G62">
        <v>41</v>
      </c>
      <c r="H62">
        <v>0</v>
      </c>
      <c r="I62">
        <v>296</v>
      </c>
      <c r="J62">
        <v>27</v>
      </c>
      <c r="K62">
        <v>82</v>
      </c>
      <c r="L62">
        <v>0.32900000000000001</v>
      </c>
      <c r="M62">
        <v>14</v>
      </c>
      <c r="N62">
        <v>47</v>
      </c>
      <c r="O62">
        <v>0.29799999999999999</v>
      </c>
      <c r="P62">
        <v>13</v>
      </c>
      <c r="Q62">
        <v>17</v>
      </c>
      <c r="R62">
        <v>0.76500000000000001</v>
      </c>
      <c r="S62">
        <v>8</v>
      </c>
      <c r="T62">
        <v>19</v>
      </c>
      <c r="U62">
        <v>27</v>
      </c>
      <c r="V62">
        <v>70</v>
      </c>
      <c r="W62">
        <v>12</v>
      </c>
      <c r="X62">
        <v>4</v>
      </c>
      <c r="Y62">
        <v>18</v>
      </c>
      <c r="Z62">
        <v>26</v>
      </c>
      <c r="AA62">
        <v>81</v>
      </c>
      <c r="AB62" t="str">
        <f t="shared" si="1"/>
        <v>Tyler Kolek</v>
      </c>
    </row>
    <row r="63" spans="1:28" x14ac:dyDescent="0.25">
      <c r="A63">
        <v>1642278</v>
      </c>
      <c r="B63" t="s">
        <v>40</v>
      </c>
      <c r="C63">
        <v>0</v>
      </c>
      <c r="D63">
        <v>1610612752</v>
      </c>
      <c r="E63" t="s">
        <v>41</v>
      </c>
      <c r="F63">
        <v>25</v>
      </c>
      <c r="G63">
        <v>62</v>
      </c>
      <c r="H63">
        <v>1</v>
      </c>
      <c r="I63">
        <v>727</v>
      </c>
      <c r="J63">
        <v>108</v>
      </c>
      <c r="K63">
        <v>248</v>
      </c>
      <c r="L63">
        <v>0.435</v>
      </c>
      <c r="M63">
        <v>44</v>
      </c>
      <c r="N63">
        <v>114</v>
      </c>
      <c r="O63">
        <v>0.38600000000000001</v>
      </c>
      <c r="P63">
        <v>14</v>
      </c>
      <c r="Q63">
        <v>20</v>
      </c>
      <c r="R63">
        <v>0.7</v>
      </c>
      <c r="S63">
        <v>16</v>
      </c>
      <c r="T63">
        <v>82</v>
      </c>
      <c r="U63">
        <v>98</v>
      </c>
      <c r="V63">
        <v>170</v>
      </c>
      <c r="W63">
        <v>22</v>
      </c>
      <c r="X63">
        <v>4</v>
      </c>
      <c r="Y63">
        <v>55</v>
      </c>
      <c r="Z63">
        <v>65</v>
      </c>
      <c r="AA63">
        <v>274</v>
      </c>
      <c r="AB63" t="str">
        <f t="shared" si="1"/>
        <v>Tyler Kolek</v>
      </c>
    </row>
    <row r="64" spans="1:28" x14ac:dyDescent="0.25">
      <c r="A64">
        <v>1631110</v>
      </c>
      <c r="B64" t="s">
        <v>37</v>
      </c>
      <c r="C64">
        <v>0</v>
      </c>
      <c r="D64">
        <v>1610612759</v>
      </c>
      <c r="E64" t="s">
        <v>47</v>
      </c>
      <c r="F64">
        <v>20</v>
      </c>
      <c r="G64">
        <v>56</v>
      </c>
      <c r="H64">
        <v>53</v>
      </c>
      <c r="I64">
        <v>1458</v>
      </c>
      <c r="J64">
        <v>250</v>
      </c>
      <c r="K64">
        <v>552</v>
      </c>
      <c r="L64">
        <v>0.45300000000000001</v>
      </c>
      <c r="M64">
        <v>33</v>
      </c>
      <c r="N64">
        <v>134</v>
      </c>
      <c r="O64">
        <v>0.246</v>
      </c>
      <c r="P64">
        <v>81</v>
      </c>
      <c r="Q64">
        <v>116</v>
      </c>
      <c r="R64">
        <v>0.69799999999999995</v>
      </c>
      <c r="S64">
        <v>95</v>
      </c>
      <c r="T64">
        <v>200</v>
      </c>
      <c r="U64">
        <v>295</v>
      </c>
      <c r="V64">
        <v>142</v>
      </c>
      <c r="W64">
        <v>43</v>
      </c>
      <c r="X64">
        <v>23</v>
      </c>
      <c r="Y64">
        <v>97</v>
      </c>
      <c r="Z64">
        <v>138</v>
      </c>
      <c r="AA64">
        <v>614</v>
      </c>
      <c r="AB64" t="str">
        <f t="shared" si="1"/>
        <v>Jeremy Sochan</v>
      </c>
    </row>
    <row r="65" spans="1:28" x14ac:dyDescent="0.25">
      <c r="A65">
        <v>1631110</v>
      </c>
      <c r="B65" t="s">
        <v>38</v>
      </c>
      <c r="C65">
        <v>0</v>
      </c>
      <c r="D65">
        <v>1610612759</v>
      </c>
      <c r="E65" t="s">
        <v>47</v>
      </c>
      <c r="F65">
        <v>21</v>
      </c>
      <c r="G65">
        <v>74</v>
      </c>
      <c r="H65">
        <v>73</v>
      </c>
      <c r="I65">
        <v>2193</v>
      </c>
      <c r="J65">
        <v>340</v>
      </c>
      <c r="K65">
        <v>776</v>
      </c>
      <c r="L65">
        <v>0.438</v>
      </c>
      <c r="M65">
        <v>70</v>
      </c>
      <c r="N65">
        <v>227</v>
      </c>
      <c r="O65">
        <v>0.308</v>
      </c>
      <c r="P65">
        <v>111</v>
      </c>
      <c r="Q65">
        <v>144</v>
      </c>
      <c r="R65">
        <v>0.77100000000000002</v>
      </c>
      <c r="S65">
        <v>137</v>
      </c>
      <c r="T65">
        <v>339</v>
      </c>
      <c r="U65">
        <v>476</v>
      </c>
      <c r="V65">
        <v>249</v>
      </c>
      <c r="W65">
        <v>62</v>
      </c>
      <c r="X65">
        <v>40</v>
      </c>
      <c r="Y65">
        <v>140</v>
      </c>
      <c r="Z65">
        <v>168</v>
      </c>
      <c r="AA65">
        <v>861</v>
      </c>
      <c r="AB65" t="str">
        <f t="shared" si="1"/>
        <v>Jeremy Sochan</v>
      </c>
    </row>
    <row r="66" spans="1:28" x14ac:dyDescent="0.25">
      <c r="A66">
        <v>1631110</v>
      </c>
      <c r="B66" t="s">
        <v>39</v>
      </c>
      <c r="C66">
        <v>0</v>
      </c>
      <c r="D66">
        <v>1610612759</v>
      </c>
      <c r="E66" t="s">
        <v>47</v>
      </c>
      <c r="F66">
        <v>22</v>
      </c>
      <c r="G66">
        <v>54</v>
      </c>
      <c r="H66">
        <v>23</v>
      </c>
      <c r="I66">
        <v>1364</v>
      </c>
      <c r="J66">
        <v>251</v>
      </c>
      <c r="K66">
        <v>469</v>
      </c>
      <c r="L66">
        <v>0.53500000000000003</v>
      </c>
      <c r="M66">
        <v>28</v>
      </c>
      <c r="N66">
        <v>91</v>
      </c>
      <c r="O66">
        <v>0.308</v>
      </c>
      <c r="P66">
        <v>87</v>
      </c>
      <c r="Q66">
        <v>125</v>
      </c>
      <c r="R66">
        <v>0.69599999999999995</v>
      </c>
      <c r="S66">
        <v>127</v>
      </c>
      <c r="T66">
        <v>225</v>
      </c>
      <c r="U66">
        <v>352</v>
      </c>
      <c r="V66">
        <v>128</v>
      </c>
      <c r="W66">
        <v>45</v>
      </c>
      <c r="X66">
        <v>27</v>
      </c>
      <c r="Y66">
        <v>84</v>
      </c>
      <c r="Z66">
        <v>131</v>
      </c>
      <c r="AA66">
        <v>617</v>
      </c>
      <c r="AB66" t="str">
        <f t="shared" ref="AB66:AB97" si="2">_xlfn.XLOOKUP(A66,$AE$7:$AE$24,$AF$7:$AF$24,"???")</f>
        <v>Jeremy Sochan</v>
      </c>
    </row>
    <row r="67" spans="1:28" x14ac:dyDescent="0.25">
      <c r="A67">
        <v>1631110</v>
      </c>
      <c r="B67" t="s">
        <v>40</v>
      </c>
      <c r="C67">
        <v>0</v>
      </c>
      <c r="D67">
        <v>1610612759</v>
      </c>
      <c r="E67" t="s">
        <v>47</v>
      </c>
      <c r="F67">
        <v>23</v>
      </c>
      <c r="G67">
        <v>28</v>
      </c>
      <c r="H67">
        <v>0</v>
      </c>
      <c r="I67">
        <v>358</v>
      </c>
      <c r="J67">
        <v>47</v>
      </c>
      <c r="K67">
        <v>99</v>
      </c>
      <c r="L67">
        <v>0.47499999999999998</v>
      </c>
      <c r="M67">
        <v>9</v>
      </c>
      <c r="N67">
        <v>35</v>
      </c>
      <c r="O67">
        <v>0.25700000000000001</v>
      </c>
      <c r="P67">
        <v>11</v>
      </c>
      <c r="Q67">
        <v>16</v>
      </c>
      <c r="R67">
        <v>0.68799999999999994</v>
      </c>
      <c r="S67">
        <v>26</v>
      </c>
      <c r="T67">
        <v>47</v>
      </c>
      <c r="U67">
        <v>73</v>
      </c>
      <c r="V67">
        <v>28</v>
      </c>
      <c r="W67">
        <v>10</v>
      </c>
      <c r="X67">
        <v>5</v>
      </c>
      <c r="Y67">
        <v>18</v>
      </c>
      <c r="Z67">
        <v>50</v>
      </c>
      <c r="AA67">
        <v>114</v>
      </c>
      <c r="AB67" t="str">
        <f t="shared" si="2"/>
        <v>Jeremy Sochan</v>
      </c>
    </row>
    <row r="68" spans="1:28" x14ac:dyDescent="0.25">
      <c r="A68">
        <v>1631110</v>
      </c>
      <c r="B68" t="s">
        <v>40</v>
      </c>
      <c r="C68">
        <v>0</v>
      </c>
      <c r="D68">
        <v>1610612752</v>
      </c>
      <c r="E68" t="s">
        <v>41</v>
      </c>
      <c r="F68">
        <v>23</v>
      </c>
      <c r="G68">
        <v>16</v>
      </c>
      <c r="H68">
        <v>0</v>
      </c>
      <c r="I68">
        <v>111</v>
      </c>
      <c r="J68">
        <v>17</v>
      </c>
      <c r="K68">
        <v>30</v>
      </c>
      <c r="L68">
        <v>0.56699999999999995</v>
      </c>
      <c r="M68">
        <v>2</v>
      </c>
      <c r="N68">
        <v>10</v>
      </c>
      <c r="O68">
        <v>0.2</v>
      </c>
      <c r="P68">
        <v>8</v>
      </c>
      <c r="Q68">
        <v>10</v>
      </c>
      <c r="R68">
        <v>0.8</v>
      </c>
      <c r="S68">
        <v>11</v>
      </c>
      <c r="T68">
        <v>23</v>
      </c>
      <c r="U68">
        <v>34</v>
      </c>
      <c r="V68">
        <v>12</v>
      </c>
      <c r="W68">
        <v>7</v>
      </c>
      <c r="X68">
        <v>2</v>
      </c>
      <c r="Y68">
        <v>3</v>
      </c>
      <c r="Z68">
        <v>12</v>
      </c>
      <c r="AA68">
        <v>44</v>
      </c>
      <c r="AB68" t="str">
        <f t="shared" si="2"/>
        <v>Jeremy Sochan</v>
      </c>
    </row>
    <row r="69" spans="1:28" x14ac:dyDescent="0.25">
      <c r="A69">
        <v>1629011</v>
      </c>
      <c r="B69" t="s">
        <v>32</v>
      </c>
      <c r="C69">
        <v>0</v>
      </c>
      <c r="D69">
        <v>1610612752</v>
      </c>
      <c r="E69" t="s">
        <v>41</v>
      </c>
      <c r="F69">
        <v>21</v>
      </c>
      <c r="G69">
        <v>66</v>
      </c>
      <c r="H69">
        <v>19</v>
      </c>
      <c r="I69">
        <v>1360</v>
      </c>
      <c r="J69">
        <v>202</v>
      </c>
      <c r="K69">
        <v>291</v>
      </c>
      <c r="L69">
        <v>0.69399999999999995</v>
      </c>
      <c r="M69">
        <v>0</v>
      </c>
      <c r="N69">
        <v>0</v>
      </c>
      <c r="O69">
        <v>0</v>
      </c>
      <c r="P69">
        <v>81</v>
      </c>
      <c r="Q69">
        <v>135</v>
      </c>
      <c r="R69">
        <v>0.6</v>
      </c>
      <c r="S69">
        <v>177</v>
      </c>
      <c r="T69">
        <v>246</v>
      </c>
      <c r="U69">
        <v>423</v>
      </c>
      <c r="V69">
        <v>37</v>
      </c>
      <c r="W69">
        <v>52</v>
      </c>
      <c r="X69">
        <v>161</v>
      </c>
      <c r="Y69">
        <v>35</v>
      </c>
      <c r="Z69">
        <v>217</v>
      </c>
      <c r="AA69">
        <v>485</v>
      </c>
      <c r="AB69" t="str">
        <f t="shared" si="2"/>
        <v>Mitchell Robinson</v>
      </c>
    </row>
    <row r="70" spans="1:28" x14ac:dyDescent="0.25">
      <c r="A70">
        <v>1629011</v>
      </c>
      <c r="B70" t="s">
        <v>33</v>
      </c>
      <c r="C70">
        <v>0</v>
      </c>
      <c r="D70">
        <v>1610612752</v>
      </c>
      <c r="E70" t="s">
        <v>41</v>
      </c>
      <c r="F70">
        <v>22</v>
      </c>
      <c r="G70">
        <v>61</v>
      </c>
      <c r="H70">
        <v>7</v>
      </c>
      <c r="I70">
        <v>1412</v>
      </c>
      <c r="J70">
        <v>253</v>
      </c>
      <c r="K70">
        <v>341</v>
      </c>
      <c r="L70">
        <v>0.74199999999999999</v>
      </c>
      <c r="M70">
        <v>0</v>
      </c>
      <c r="N70">
        <v>0</v>
      </c>
      <c r="O70">
        <v>0</v>
      </c>
      <c r="P70">
        <v>84</v>
      </c>
      <c r="Q70">
        <v>148</v>
      </c>
      <c r="R70">
        <v>0.56799999999999995</v>
      </c>
      <c r="S70">
        <v>186</v>
      </c>
      <c r="T70">
        <v>242</v>
      </c>
      <c r="U70">
        <v>428</v>
      </c>
      <c r="V70">
        <v>36</v>
      </c>
      <c r="W70">
        <v>52</v>
      </c>
      <c r="X70">
        <v>119</v>
      </c>
      <c r="Y70">
        <v>37</v>
      </c>
      <c r="Z70">
        <v>194</v>
      </c>
      <c r="AA70">
        <v>590</v>
      </c>
      <c r="AB70" t="str">
        <f t="shared" si="2"/>
        <v>Mitchell Robinson</v>
      </c>
    </row>
    <row r="71" spans="1:28" x14ac:dyDescent="0.25">
      <c r="A71">
        <v>1629011</v>
      </c>
      <c r="B71" t="s">
        <v>35</v>
      </c>
      <c r="C71">
        <v>0</v>
      </c>
      <c r="D71">
        <v>1610612752</v>
      </c>
      <c r="E71" t="s">
        <v>41</v>
      </c>
      <c r="F71">
        <v>23</v>
      </c>
      <c r="G71">
        <v>31</v>
      </c>
      <c r="H71">
        <v>29</v>
      </c>
      <c r="I71">
        <v>853</v>
      </c>
      <c r="J71">
        <v>115</v>
      </c>
      <c r="K71">
        <v>176</v>
      </c>
      <c r="L71">
        <v>0.65300000000000002</v>
      </c>
      <c r="M71">
        <v>0</v>
      </c>
      <c r="N71">
        <v>0</v>
      </c>
      <c r="O71">
        <v>0</v>
      </c>
      <c r="P71">
        <v>26</v>
      </c>
      <c r="Q71">
        <v>53</v>
      </c>
      <c r="R71">
        <v>0.49099999999999999</v>
      </c>
      <c r="S71">
        <v>113</v>
      </c>
      <c r="T71">
        <v>139</v>
      </c>
      <c r="U71">
        <v>252</v>
      </c>
      <c r="V71">
        <v>17</v>
      </c>
      <c r="W71">
        <v>35</v>
      </c>
      <c r="X71">
        <v>45</v>
      </c>
      <c r="Y71">
        <v>26</v>
      </c>
      <c r="Z71">
        <v>86</v>
      </c>
      <c r="AA71">
        <v>256</v>
      </c>
      <c r="AB71" t="str">
        <f t="shared" si="2"/>
        <v>Mitchell Robinson</v>
      </c>
    </row>
    <row r="72" spans="1:28" x14ac:dyDescent="0.25">
      <c r="A72">
        <v>1629011</v>
      </c>
      <c r="B72" t="s">
        <v>36</v>
      </c>
      <c r="C72">
        <v>0</v>
      </c>
      <c r="D72">
        <v>1610612752</v>
      </c>
      <c r="E72" t="s">
        <v>41</v>
      </c>
      <c r="F72">
        <v>24</v>
      </c>
      <c r="G72">
        <v>72</v>
      </c>
      <c r="H72">
        <v>62</v>
      </c>
      <c r="I72">
        <v>1848</v>
      </c>
      <c r="J72">
        <v>261</v>
      </c>
      <c r="K72">
        <v>343</v>
      </c>
      <c r="L72">
        <v>0.76100000000000001</v>
      </c>
      <c r="M72">
        <v>0</v>
      </c>
      <c r="N72">
        <v>0</v>
      </c>
      <c r="O72">
        <v>0</v>
      </c>
      <c r="P72">
        <v>88</v>
      </c>
      <c r="Q72">
        <v>181</v>
      </c>
      <c r="R72">
        <v>0.48599999999999999</v>
      </c>
      <c r="S72">
        <v>295</v>
      </c>
      <c r="T72">
        <v>322</v>
      </c>
      <c r="U72">
        <v>617</v>
      </c>
      <c r="V72">
        <v>38</v>
      </c>
      <c r="W72">
        <v>58</v>
      </c>
      <c r="X72">
        <v>133</v>
      </c>
      <c r="Y72">
        <v>60</v>
      </c>
      <c r="Z72">
        <v>195</v>
      </c>
      <c r="AA72">
        <v>610</v>
      </c>
      <c r="AB72" t="str">
        <f t="shared" si="2"/>
        <v>Mitchell Robinson</v>
      </c>
    </row>
    <row r="73" spans="1:28" x14ac:dyDescent="0.25">
      <c r="A73">
        <v>1629011</v>
      </c>
      <c r="B73" t="s">
        <v>37</v>
      </c>
      <c r="C73">
        <v>0</v>
      </c>
      <c r="D73">
        <v>1610612752</v>
      </c>
      <c r="E73" t="s">
        <v>41</v>
      </c>
      <c r="F73">
        <v>25</v>
      </c>
      <c r="G73">
        <v>59</v>
      </c>
      <c r="H73">
        <v>58</v>
      </c>
      <c r="I73">
        <v>1589</v>
      </c>
      <c r="J73">
        <v>188</v>
      </c>
      <c r="K73">
        <v>280</v>
      </c>
      <c r="L73">
        <v>0.67100000000000004</v>
      </c>
      <c r="M73">
        <v>0</v>
      </c>
      <c r="N73">
        <v>0</v>
      </c>
      <c r="O73">
        <v>0</v>
      </c>
      <c r="P73">
        <v>59</v>
      </c>
      <c r="Q73">
        <v>122</v>
      </c>
      <c r="R73">
        <v>0.48399999999999999</v>
      </c>
      <c r="S73">
        <v>267</v>
      </c>
      <c r="T73">
        <v>288</v>
      </c>
      <c r="U73">
        <v>555</v>
      </c>
      <c r="V73">
        <v>53</v>
      </c>
      <c r="W73">
        <v>56</v>
      </c>
      <c r="X73">
        <v>109</v>
      </c>
      <c r="Y73">
        <v>41</v>
      </c>
      <c r="Z73">
        <v>160</v>
      </c>
      <c r="AA73">
        <v>435</v>
      </c>
      <c r="AB73" t="str">
        <f t="shared" si="2"/>
        <v>Mitchell Robinson</v>
      </c>
    </row>
    <row r="74" spans="1:28" x14ac:dyDescent="0.25">
      <c r="A74">
        <v>1629011</v>
      </c>
      <c r="B74" t="s">
        <v>38</v>
      </c>
      <c r="C74">
        <v>0</v>
      </c>
      <c r="D74">
        <v>1610612752</v>
      </c>
      <c r="E74" t="s">
        <v>41</v>
      </c>
      <c r="F74">
        <v>26</v>
      </c>
      <c r="G74">
        <v>31</v>
      </c>
      <c r="H74">
        <v>21</v>
      </c>
      <c r="I74">
        <v>768</v>
      </c>
      <c r="J74">
        <v>73</v>
      </c>
      <c r="K74">
        <v>127</v>
      </c>
      <c r="L74">
        <v>0.57499999999999996</v>
      </c>
      <c r="M74">
        <v>0</v>
      </c>
      <c r="N74">
        <v>0</v>
      </c>
      <c r="O74">
        <v>0</v>
      </c>
      <c r="P74">
        <v>27</v>
      </c>
      <c r="Q74">
        <v>66</v>
      </c>
      <c r="R74">
        <v>0.40899999999999997</v>
      </c>
      <c r="S74">
        <v>142</v>
      </c>
      <c r="T74">
        <v>121</v>
      </c>
      <c r="U74">
        <v>263</v>
      </c>
      <c r="V74">
        <v>18</v>
      </c>
      <c r="W74">
        <v>37</v>
      </c>
      <c r="X74">
        <v>35</v>
      </c>
      <c r="Y74">
        <v>25</v>
      </c>
      <c r="Z74">
        <v>55</v>
      </c>
      <c r="AA74">
        <v>173</v>
      </c>
      <c r="AB74" t="str">
        <f t="shared" si="2"/>
        <v>Mitchell Robinson</v>
      </c>
    </row>
    <row r="75" spans="1:28" x14ac:dyDescent="0.25">
      <c r="A75">
        <v>1629011</v>
      </c>
      <c r="B75" t="s">
        <v>39</v>
      </c>
      <c r="C75">
        <v>0</v>
      </c>
      <c r="D75">
        <v>1610612752</v>
      </c>
      <c r="E75" t="s">
        <v>41</v>
      </c>
      <c r="F75">
        <v>27</v>
      </c>
      <c r="G75">
        <v>17</v>
      </c>
      <c r="H75">
        <v>3</v>
      </c>
      <c r="I75">
        <v>290</v>
      </c>
      <c r="J75">
        <v>37</v>
      </c>
      <c r="K75">
        <v>56</v>
      </c>
      <c r="L75">
        <v>0.66100000000000003</v>
      </c>
      <c r="M75">
        <v>0</v>
      </c>
      <c r="N75">
        <v>0</v>
      </c>
      <c r="O75">
        <v>0</v>
      </c>
      <c r="P75">
        <v>13</v>
      </c>
      <c r="Q75">
        <v>19</v>
      </c>
      <c r="R75">
        <v>0.68400000000000005</v>
      </c>
      <c r="S75">
        <v>52</v>
      </c>
      <c r="T75">
        <v>49</v>
      </c>
      <c r="U75">
        <v>101</v>
      </c>
      <c r="V75">
        <v>13</v>
      </c>
      <c r="W75">
        <v>16</v>
      </c>
      <c r="X75">
        <v>18</v>
      </c>
      <c r="Y75">
        <v>10</v>
      </c>
      <c r="Z75">
        <v>26</v>
      </c>
      <c r="AA75">
        <v>87</v>
      </c>
      <c r="AB75" t="str">
        <f t="shared" si="2"/>
        <v>Mitchell Robinson</v>
      </c>
    </row>
    <row r="76" spans="1:28" x14ac:dyDescent="0.25">
      <c r="A76">
        <v>1629011</v>
      </c>
      <c r="B76" t="s">
        <v>40</v>
      </c>
      <c r="C76">
        <v>0</v>
      </c>
      <c r="D76">
        <v>1610612752</v>
      </c>
      <c r="E76" t="s">
        <v>41</v>
      </c>
      <c r="F76">
        <v>28</v>
      </c>
      <c r="G76">
        <v>60</v>
      </c>
      <c r="H76">
        <v>16</v>
      </c>
      <c r="I76">
        <v>1175</v>
      </c>
      <c r="J76">
        <v>149</v>
      </c>
      <c r="K76">
        <v>206</v>
      </c>
      <c r="L76">
        <v>0.72299999999999998</v>
      </c>
      <c r="M76">
        <v>0</v>
      </c>
      <c r="N76">
        <v>0</v>
      </c>
      <c r="O76">
        <v>0</v>
      </c>
      <c r="P76">
        <v>42</v>
      </c>
      <c r="Q76">
        <v>103</v>
      </c>
      <c r="R76">
        <v>0.40799999999999997</v>
      </c>
      <c r="S76">
        <v>252</v>
      </c>
      <c r="T76">
        <v>273</v>
      </c>
      <c r="U76">
        <v>525</v>
      </c>
      <c r="V76">
        <v>52</v>
      </c>
      <c r="W76">
        <v>56</v>
      </c>
      <c r="X76">
        <v>70</v>
      </c>
      <c r="Y76">
        <v>41</v>
      </c>
      <c r="Z76">
        <v>127</v>
      </c>
      <c r="AA76">
        <v>340</v>
      </c>
      <c r="AB76" t="str">
        <f t="shared" si="2"/>
        <v>Mitchell Robinson</v>
      </c>
    </row>
    <row r="77" spans="1:28" x14ac:dyDescent="0.25">
      <c r="A77">
        <v>1628969</v>
      </c>
      <c r="B77" t="s">
        <v>32</v>
      </c>
      <c r="C77">
        <v>0</v>
      </c>
      <c r="D77">
        <v>1610612756</v>
      </c>
      <c r="E77" t="s">
        <v>48</v>
      </c>
      <c r="F77">
        <v>22</v>
      </c>
      <c r="G77">
        <v>82</v>
      </c>
      <c r="H77">
        <v>56</v>
      </c>
      <c r="I77">
        <v>2417</v>
      </c>
      <c r="J77">
        <v>242</v>
      </c>
      <c r="K77">
        <v>563</v>
      </c>
      <c r="L77">
        <v>0.43</v>
      </c>
      <c r="M77">
        <v>105</v>
      </c>
      <c r="N77">
        <v>313</v>
      </c>
      <c r="O77">
        <v>0.33500000000000002</v>
      </c>
      <c r="P77">
        <v>95</v>
      </c>
      <c r="Q77">
        <v>118</v>
      </c>
      <c r="R77">
        <v>0.80500000000000005</v>
      </c>
      <c r="S77">
        <v>56</v>
      </c>
      <c r="T77">
        <v>208</v>
      </c>
      <c r="U77">
        <v>264</v>
      </c>
      <c r="V77">
        <v>173</v>
      </c>
      <c r="W77">
        <v>129</v>
      </c>
      <c r="X77">
        <v>38</v>
      </c>
      <c r="Y77">
        <v>70</v>
      </c>
      <c r="Z77">
        <v>201</v>
      </c>
      <c r="AA77">
        <v>684</v>
      </c>
      <c r="AB77" t="str">
        <f t="shared" si="2"/>
        <v>Mikal Bridges</v>
      </c>
    </row>
    <row r="78" spans="1:28" x14ac:dyDescent="0.25">
      <c r="A78">
        <v>1628969</v>
      </c>
      <c r="B78" t="s">
        <v>33</v>
      </c>
      <c r="C78">
        <v>0</v>
      </c>
      <c r="D78">
        <v>1610612756</v>
      </c>
      <c r="E78" t="s">
        <v>48</v>
      </c>
      <c r="F78">
        <v>23</v>
      </c>
      <c r="G78">
        <v>73</v>
      </c>
      <c r="H78">
        <v>32</v>
      </c>
      <c r="I78">
        <v>2042</v>
      </c>
      <c r="J78">
        <v>247</v>
      </c>
      <c r="K78">
        <v>484</v>
      </c>
      <c r="L78">
        <v>0.51</v>
      </c>
      <c r="M78">
        <v>70</v>
      </c>
      <c r="N78">
        <v>194</v>
      </c>
      <c r="O78">
        <v>0.36099999999999999</v>
      </c>
      <c r="P78">
        <v>103</v>
      </c>
      <c r="Q78">
        <v>122</v>
      </c>
      <c r="R78">
        <v>0.84399999999999997</v>
      </c>
      <c r="S78">
        <v>66</v>
      </c>
      <c r="T78">
        <v>226</v>
      </c>
      <c r="U78">
        <v>292</v>
      </c>
      <c r="V78">
        <v>129</v>
      </c>
      <c r="W78">
        <v>102</v>
      </c>
      <c r="X78">
        <v>46</v>
      </c>
      <c r="Y78">
        <v>73</v>
      </c>
      <c r="Z78">
        <v>163</v>
      </c>
      <c r="AA78">
        <v>667</v>
      </c>
      <c r="AB78" t="str">
        <f t="shared" si="2"/>
        <v>Mikal Bridges</v>
      </c>
    </row>
    <row r="79" spans="1:28" x14ac:dyDescent="0.25">
      <c r="A79">
        <v>1628969</v>
      </c>
      <c r="B79" t="s">
        <v>35</v>
      </c>
      <c r="C79">
        <v>0</v>
      </c>
      <c r="D79">
        <v>1610612756</v>
      </c>
      <c r="E79" t="s">
        <v>48</v>
      </c>
      <c r="F79">
        <v>24</v>
      </c>
      <c r="G79">
        <v>72</v>
      </c>
      <c r="H79">
        <v>72</v>
      </c>
      <c r="I79">
        <v>2348</v>
      </c>
      <c r="J79">
        <v>363</v>
      </c>
      <c r="K79">
        <v>669</v>
      </c>
      <c r="L79">
        <v>0.54300000000000004</v>
      </c>
      <c r="M79">
        <v>134</v>
      </c>
      <c r="N79">
        <v>315</v>
      </c>
      <c r="O79">
        <v>0.42499999999999999</v>
      </c>
      <c r="P79">
        <v>110</v>
      </c>
      <c r="Q79">
        <v>131</v>
      </c>
      <c r="R79">
        <v>0.84</v>
      </c>
      <c r="S79">
        <v>76</v>
      </c>
      <c r="T79">
        <v>233</v>
      </c>
      <c r="U79">
        <v>309</v>
      </c>
      <c r="V79">
        <v>152</v>
      </c>
      <c r="W79">
        <v>76</v>
      </c>
      <c r="X79">
        <v>63</v>
      </c>
      <c r="Y79">
        <v>57</v>
      </c>
      <c r="Z79">
        <v>116</v>
      </c>
      <c r="AA79">
        <v>970</v>
      </c>
      <c r="AB79" t="str">
        <f t="shared" si="2"/>
        <v>Mikal Bridges</v>
      </c>
    </row>
    <row r="80" spans="1:28" x14ac:dyDescent="0.25">
      <c r="A80">
        <v>1628969</v>
      </c>
      <c r="B80" t="s">
        <v>36</v>
      </c>
      <c r="C80">
        <v>0</v>
      </c>
      <c r="D80">
        <v>1610612756</v>
      </c>
      <c r="E80" t="s">
        <v>48</v>
      </c>
      <c r="F80">
        <v>25</v>
      </c>
      <c r="G80">
        <v>82</v>
      </c>
      <c r="H80">
        <v>82</v>
      </c>
      <c r="I80">
        <v>2854</v>
      </c>
      <c r="J80">
        <v>458</v>
      </c>
      <c r="K80">
        <v>858</v>
      </c>
      <c r="L80">
        <v>0.53400000000000003</v>
      </c>
      <c r="M80">
        <v>115</v>
      </c>
      <c r="N80">
        <v>312</v>
      </c>
      <c r="O80">
        <v>0.36899999999999999</v>
      </c>
      <c r="P80">
        <v>131</v>
      </c>
      <c r="Q80">
        <v>157</v>
      </c>
      <c r="R80">
        <v>0.83399999999999996</v>
      </c>
      <c r="S80">
        <v>74</v>
      </c>
      <c r="T80">
        <v>273</v>
      </c>
      <c r="U80">
        <v>347</v>
      </c>
      <c r="V80">
        <v>185</v>
      </c>
      <c r="W80">
        <v>96</v>
      </c>
      <c r="X80">
        <v>36</v>
      </c>
      <c r="Y80">
        <v>68</v>
      </c>
      <c r="Z80">
        <v>150</v>
      </c>
      <c r="AA80">
        <v>1162</v>
      </c>
      <c r="AB80" t="str">
        <f t="shared" si="2"/>
        <v>Mikal Bridges</v>
      </c>
    </row>
    <row r="81" spans="1:28" x14ac:dyDescent="0.25">
      <c r="A81">
        <v>1628969</v>
      </c>
      <c r="B81" t="s">
        <v>37</v>
      </c>
      <c r="C81">
        <v>0</v>
      </c>
      <c r="D81">
        <v>1610612756</v>
      </c>
      <c r="E81" t="s">
        <v>48</v>
      </c>
      <c r="F81">
        <v>26</v>
      </c>
      <c r="G81">
        <v>56</v>
      </c>
      <c r="H81">
        <v>56</v>
      </c>
      <c r="I81">
        <v>2040</v>
      </c>
      <c r="J81">
        <v>354</v>
      </c>
      <c r="K81">
        <v>764</v>
      </c>
      <c r="L81">
        <v>0.46300000000000002</v>
      </c>
      <c r="M81">
        <v>101</v>
      </c>
      <c r="N81">
        <v>261</v>
      </c>
      <c r="O81">
        <v>0.38700000000000001</v>
      </c>
      <c r="P81">
        <v>156</v>
      </c>
      <c r="Q81">
        <v>174</v>
      </c>
      <c r="R81">
        <v>0.89700000000000002</v>
      </c>
      <c r="S81">
        <v>56</v>
      </c>
      <c r="T81">
        <v>187</v>
      </c>
      <c r="U81">
        <v>243</v>
      </c>
      <c r="V81">
        <v>201</v>
      </c>
      <c r="W81">
        <v>65</v>
      </c>
      <c r="X81">
        <v>45</v>
      </c>
      <c r="Y81">
        <v>78</v>
      </c>
      <c r="Z81">
        <v>115</v>
      </c>
      <c r="AA81">
        <v>965</v>
      </c>
      <c r="AB81" t="str">
        <f t="shared" si="2"/>
        <v>Mikal Bridges</v>
      </c>
    </row>
    <row r="82" spans="1:28" x14ac:dyDescent="0.25">
      <c r="A82">
        <v>1628969</v>
      </c>
      <c r="B82" t="s">
        <v>37</v>
      </c>
      <c r="C82">
        <v>0</v>
      </c>
      <c r="D82">
        <v>1610612751</v>
      </c>
      <c r="E82" t="s">
        <v>49</v>
      </c>
      <c r="F82">
        <v>26</v>
      </c>
      <c r="G82">
        <v>27</v>
      </c>
      <c r="H82">
        <v>27</v>
      </c>
      <c r="I82">
        <v>923</v>
      </c>
      <c r="J82">
        <v>239</v>
      </c>
      <c r="K82">
        <v>503</v>
      </c>
      <c r="L82">
        <v>0.47499999999999998</v>
      </c>
      <c r="M82">
        <v>68</v>
      </c>
      <c r="N82">
        <v>181</v>
      </c>
      <c r="O82">
        <v>0.376</v>
      </c>
      <c r="P82">
        <v>160</v>
      </c>
      <c r="Q82">
        <v>179</v>
      </c>
      <c r="R82">
        <v>0.89400000000000002</v>
      </c>
      <c r="S82">
        <v>23</v>
      </c>
      <c r="T82">
        <v>98</v>
      </c>
      <c r="U82">
        <v>121</v>
      </c>
      <c r="V82">
        <v>72</v>
      </c>
      <c r="W82">
        <v>26</v>
      </c>
      <c r="X82">
        <v>16</v>
      </c>
      <c r="Y82">
        <v>49</v>
      </c>
      <c r="Z82">
        <v>44</v>
      </c>
      <c r="AA82">
        <v>706</v>
      </c>
      <c r="AB82" t="str">
        <f t="shared" si="2"/>
        <v>Mikal Bridges</v>
      </c>
    </row>
    <row r="83" spans="1:28" x14ac:dyDescent="0.25">
      <c r="A83">
        <v>1628969</v>
      </c>
      <c r="B83" t="s">
        <v>38</v>
      </c>
      <c r="C83">
        <v>0</v>
      </c>
      <c r="D83">
        <v>1610612751</v>
      </c>
      <c r="E83" t="s">
        <v>49</v>
      </c>
      <c r="F83">
        <v>27</v>
      </c>
      <c r="G83">
        <v>82</v>
      </c>
      <c r="H83">
        <v>82</v>
      </c>
      <c r="I83">
        <v>2854</v>
      </c>
      <c r="J83">
        <v>564</v>
      </c>
      <c r="K83">
        <v>1294</v>
      </c>
      <c r="L83">
        <v>0.436</v>
      </c>
      <c r="M83">
        <v>220</v>
      </c>
      <c r="N83">
        <v>592</v>
      </c>
      <c r="O83">
        <v>0.372</v>
      </c>
      <c r="P83">
        <v>258</v>
      </c>
      <c r="Q83">
        <v>317</v>
      </c>
      <c r="R83">
        <v>0.81399999999999995</v>
      </c>
      <c r="S83">
        <v>68</v>
      </c>
      <c r="T83">
        <v>304</v>
      </c>
      <c r="U83">
        <v>372</v>
      </c>
      <c r="V83">
        <v>299</v>
      </c>
      <c r="W83">
        <v>81</v>
      </c>
      <c r="X83">
        <v>30</v>
      </c>
      <c r="Y83">
        <v>164</v>
      </c>
      <c r="Z83">
        <v>116</v>
      </c>
      <c r="AA83">
        <v>1606</v>
      </c>
      <c r="AB83" t="str">
        <f t="shared" si="2"/>
        <v>Mikal Bridges</v>
      </c>
    </row>
    <row r="84" spans="1:28" x14ac:dyDescent="0.25">
      <c r="A84">
        <v>1628969</v>
      </c>
      <c r="B84" t="s">
        <v>39</v>
      </c>
      <c r="C84">
        <v>0</v>
      </c>
      <c r="D84">
        <v>1610612752</v>
      </c>
      <c r="E84" t="s">
        <v>41</v>
      </c>
      <c r="F84">
        <v>28</v>
      </c>
      <c r="G84">
        <v>82</v>
      </c>
      <c r="H84">
        <v>82</v>
      </c>
      <c r="I84">
        <v>3036</v>
      </c>
      <c r="J84">
        <v>592</v>
      </c>
      <c r="K84">
        <v>1183</v>
      </c>
      <c r="L84">
        <v>0.5</v>
      </c>
      <c r="M84">
        <v>164</v>
      </c>
      <c r="N84">
        <v>463</v>
      </c>
      <c r="O84">
        <v>0.35399999999999998</v>
      </c>
      <c r="P84">
        <v>96</v>
      </c>
      <c r="Q84">
        <v>118</v>
      </c>
      <c r="R84">
        <v>0.81399999999999995</v>
      </c>
      <c r="S84">
        <v>71</v>
      </c>
      <c r="T84">
        <v>188</v>
      </c>
      <c r="U84">
        <v>259</v>
      </c>
      <c r="V84">
        <v>306</v>
      </c>
      <c r="W84">
        <v>75</v>
      </c>
      <c r="X84">
        <v>43</v>
      </c>
      <c r="Y84">
        <v>132</v>
      </c>
      <c r="Z84">
        <v>127</v>
      </c>
      <c r="AA84">
        <v>1444</v>
      </c>
      <c r="AB84" t="str">
        <f t="shared" si="2"/>
        <v>Mikal Bridges</v>
      </c>
    </row>
    <row r="85" spans="1:28" x14ac:dyDescent="0.25">
      <c r="A85">
        <v>1628969</v>
      </c>
      <c r="B85" t="s">
        <v>40</v>
      </c>
      <c r="C85">
        <v>0</v>
      </c>
      <c r="D85">
        <v>1610612752</v>
      </c>
      <c r="E85" t="s">
        <v>41</v>
      </c>
      <c r="F85">
        <v>29</v>
      </c>
      <c r="G85">
        <v>82</v>
      </c>
      <c r="H85">
        <v>82</v>
      </c>
      <c r="I85">
        <v>2692</v>
      </c>
      <c r="J85">
        <v>472</v>
      </c>
      <c r="K85">
        <v>963</v>
      </c>
      <c r="L85">
        <v>0.49</v>
      </c>
      <c r="M85">
        <v>156</v>
      </c>
      <c r="N85">
        <v>420</v>
      </c>
      <c r="O85">
        <v>0.371</v>
      </c>
      <c r="P85">
        <v>81</v>
      </c>
      <c r="Q85">
        <v>98</v>
      </c>
      <c r="R85">
        <v>0.82699999999999996</v>
      </c>
      <c r="S85">
        <v>79</v>
      </c>
      <c r="T85">
        <v>233</v>
      </c>
      <c r="U85">
        <v>312</v>
      </c>
      <c r="V85">
        <v>304</v>
      </c>
      <c r="W85">
        <v>107</v>
      </c>
      <c r="X85">
        <v>62</v>
      </c>
      <c r="Y85">
        <v>83</v>
      </c>
      <c r="Z85">
        <v>160</v>
      </c>
      <c r="AA85">
        <v>1181</v>
      </c>
      <c r="AB85" t="str">
        <f t="shared" si="2"/>
        <v>Mikal Bridges</v>
      </c>
    </row>
    <row r="86" spans="1:28" x14ac:dyDescent="0.25">
      <c r="A86">
        <v>1626157</v>
      </c>
      <c r="B86" t="s">
        <v>28</v>
      </c>
      <c r="C86">
        <v>0</v>
      </c>
      <c r="D86">
        <v>1610612750</v>
      </c>
      <c r="E86" t="s">
        <v>7</v>
      </c>
      <c r="F86">
        <v>20</v>
      </c>
      <c r="G86">
        <v>82</v>
      </c>
      <c r="H86">
        <v>82</v>
      </c>
      <c r="I86">
        <v>2627</v>
      </c>
      <c r="J86">
        <v>625</v>
      </c>
      <c r="K86">
        <v>1153</v>
      </c>
      <c r="L86">
        <v>0.54200000000000004</v>
      </c>
      <c r="M86">
        <v>30</v>
      </c>
      <c r="N86">
        <v>88</v>
      </c>
      <c r="O86">
        <v>0.34100000000000003</v>
      </c>
      <c r="P86">
        <v>223</v>
      </c>
      <c r="Q86">
        <v>275</v>
      </c>
      <c r="R86">
        <v>0.81100000000000005</v>
      </c>
      <c r="S86">
        <v>229</v>
      </c>
      <c r="T86">
        <v>629</v>
      </c>
      <c r="U86">
        <v>858</v>
      </c>
      <c r="V86">
        <v>161</v>
      </c>
      <c r="W86">
        <v>58</v>
      </c>
      <c r="X86">
        <v>138</v>
      </c>
      <c r="Y86">
        <v>183</v>
      </c>
      <c r="Z86">
        <v>245</v>
      </c>
      <c r="AA86">
        <v>1503</v>
      </c>
      <c r="AB86" t="str">
        <f t="shared" si="2"/>
        <v>Karl-Anthony Towns</v>
      </c>
    </row>
    <row r="87" spans="1:28" x14ac:dyDescent="0.25">
      <c r="A87">
        <v>1626157</v>
      </c>
      <c r="B87" t="s">
        <v>29</v>
      </c>
      <c r="C87">
        <v>0</v>
      </c>
      <c r="D87">
        <v>1610612750</v>
      </c>
      <c r="E87" t="s">
        <v>7</v>
      </c>
      <c r="F87">
        <v>21</v>
      </c>
      <c r="G87">
        <v>82</v>
      </c>
      <c r="H87">
        <v>82</v>
      </c>
      <c r="I87">
        <v>3030</v>
      </c>
      <c r="J87">
        <v>802</v>
      </c>
      <c r="K87">
        <v>1480</v>
      </c>
      <c r="L87">
        <v>0.54200000000000004</v>
      </c>
      <c r="M87">
        <v>101</v>
      </c>
      <c r="N87">
        <v>275</v>
      </c>
      <c r="O87">
        <v>0.36699999999999999</v>
      </c>
      <c r="P87">
        <v>356</v>
      </c>
      <c r="Q87">
        <v>428</v>
      </c>
      <c r="R87">
        <v>0.83199999999999996</v>
      </c>
      <c r="S87">
        <v>296</v>
      </c>
      <c r="T87">
        <v>711</v>
      </c>
      <c r="U87">
        <v>1007</v>
      </c>
      <c r="V87">
        <v>220</v>
      </c>
      <c r="W87">
        <v>56</v>
      </c>
      <c r="X87">
        <v>103</v>
      </c>
      <c r="Y87">
        <v>212</v>
      </c>
      <c r="Z87">
        <v>241</v>
      </c>
      <c r="AA87">
        <v>2061</v>
      </c>
      <c r="AB87" t="str">
        <f t="shared" si="2"/>
        <v>Karl-Anthony Towns</v>
      </c>
    </row>
    <row r="88" spans="1:28" x14ac:dyDescent="0.25">
      <c r="A88">
        <v>1626157</v>
      </c>
      <c r="B88" t="s">
        <v>30</v>
      </c>
      <c r="C88">
        <v>0</v>
      </c>
      <c r="D88">
        <v>1610612750</v>
      </c>
      <c r="E88" t="s">
        <v>7</v>
      </c>
      <c r="F88">
        <v>22</v>
      </c>
      <c r="G88">
        <v>82</v>
      </c>
      <c r="H88">
        <v>82</v>
      </c>
      <c r="I88">
        <v>2918</v>
      </c>
      <c r="J88">
        <v>639</v>
      </c>
      <c r="K88">
        <v>1172</v>
      </c>
      <c r="L88">
        <v>0.54500000000000004</v>
      </c>
      <c r="M88">
        <v>120</v>
      </c>
      <c r="N88">
        <v>285</v>
      </c>
      <c r="O88">
        <v>0.42099999999999999</v>
      </c>
      <c r="P88">
        <v>345</v>
      </c>
      <c r="Q88">
        <v>402</v>
      </c>
      <c r="R88">
        <v>0.85799999999999998</v>
      </c>
      <c r="S88">
        <v>238</v>
      </c>
      <c r="T88">
        <v>774</v>
      </c>
      <c r="U88">
        <v>1012</v>
      </c>
      <c r="V88">
        <v>199</v>
      </c>
      <c r="W88">
        <v>64</v>
      </c>
      <c r="X88">
        <v>115</v>
      </c>
      <c r="Y88">
        <v>159</v>
      </c>
      <c r="Z88">
        <v>285</v>
      </c>
      <c r="AA88">
        <v>1743</v>
      </c>
      <c r="AB88" t="str">
        <f t="shared" si="2"/>
        <v>Karl-Anthony Towns</v>
      </c>
    </row>
    <row r="89" spans="1:28" x14ac:dyDescent="0.25">
      <c r="A89">
        <v>1626157</v>
      </c>
      <c r="B89" t="s">
        <v>32</v>
      </c>
      <c r="C89">
        <v>0</v>
      </c>
      <c r="D89">
        <v>1610612750</v>
      </c>
      <c r="E89" t="s">
        <v>7</v>
      </c>
      <c r="F89">
        <v>23</v>
      </c>
      <c r="G89">
        <v>77</v>
      </c>
      <c r="H89">
        <v>77</v>
      </c>
      <c r="I89">
        <v>2545</v>
      </c>
      <c r="J89">
        <v>681</v>
      </c>
      <c r="K89">
        <v>1314</v>
      </c>
      <c r="L89">
        <v>0.51800000000000002</v>
      </c>
      <c r="M89">
        <v>142</v>
      </c>
      <c r="N89">
        <v>355</v>
      </c>
      <c r="O89">
        <v>0.4</v>
      </c>
      <c r="P89">
        <v>376</v>
      </c>
      <c r="Q89">
        <v>450</v>
      </c>
      <c r="R89">
        <v>0.83599999999999997</v>
      </c>
      <c r="S89">
        <v>263</v>
      </c>
      <c r="T89">
        <v>691</v>
      </c>
      <c r="U89">
        <v>954</v>
      </c>
      <c r="V89">
        <v>259</v>
      </c>
      <c r="W89">
        <v>67</v>
      </c>
      <c r="X89">
        <v>125</v>
      </c>
      <c r="Y89">
        <v>240</v>
      </c>
      <c r="Z89">
        <v>292</v>
      </c>
      <c r="AA89">
        <v>1880</v>
      </c>
      <c r="AB89" t="str">
        <f t="shared" si="2"/>
        <v>Karl-Anthony Towns</v>
      </c>
    </row>
    <row r="90" spans="1:28" x14ac:dyDescent="0.25">
      <c r="A90">
        <v>1626157</v>
      </c>
      <c r="B90" t="s">
        <v>33</v>
      </c>
      <c r="C90">
        <v>0</v>
      </c>
      <c r="D90">
        <v>1610612750</v>
      </c>
      <c r="E90" t="s">
        <v>7</v>
      </c>
      <c r="F90">
        <v>24</v>
      </c>
      <c r="G90">
        <v>35</v>
      </c>
      <c r="H90">
        <v>35</v>
      </c>
      <c r="I90">
        <v>1187</v>
      </c>
      <c r="J90">
        <v>316</v>
      </c>
      <c r="K90">
        <v>622</v>
      </c>
      <c r="L90">
        <v>0.50800000000000001</v>
      </c>
      <c r="M90">
        <v>114</v>
      </c>
      <c r="N90">
        <v>277</v>
      </c>
      <c r="O90">
        <v>0.41199999999999998</v>
      </c>
      <c r="P90">
        <v>180</v>
      </c>
      <c r="Q90">
        <v>226</v>
      </c>
      <c r="R90">
        <v>0.79600000000000004</v>
      </c>
      <c r="S90">
        <v>95</v>
      </c>
      <c r="T90">
        <v>283</v>
      </c>
      <c r="U90">
        <v>378</v>
      </c>
      <c r="V90">
        <v>153</v>
      </c>
      <c r="W90">
        <v>33</v>
      </c>
      <c r="X90">
        <v>42</v>
      </c>
      <c r="Y90">
        <v>110</v>
      </c>
      <c r="Z90">
        <v>117</v>
      </c>
      <c r="AA90">
        <v>926</v>
      </c>
      <c r="AB90" t="str">
        <f t="shared" si="2"/>
        <v>Karl-Anthony Towns</v>
      </c>
    </row>
    <row r="91" spans="1:28" x14ac:dyDescent="0.25">
      <c r="A91">
        <v>1626157</v>
      </c>
      <c r="B91" t="s">
        <v>35</v>
      </c>
      <c r="C91">
        <v>0</v>
      </c>
      <c r="D91">
        <v>1610612750</v>
      </c>
      <c r="E91" t="s">
        <v>7</v>
      </c>
      <c r="F91">
        <v>25</v>
      </c>
      <c r="G91">
        <v>50</v>
      </c>
      <c r="H91">
        <v>50</v>
      </c>
      <c r="I91">
        <v>1689</v>
      </c>
      <c r="J91">
        <v>425</v>
      </c>
      <c r="K91">
        <v>875</v>
      </c>
      <c r="L91">
        <v>0.48599999999999999</v>
      </c>
      <c r="M91">
        <v>122</v>
      </c>
      <c r="N91">
        <v>315</v>
      </c>
      <c r="O91">
        <v>0.38700000000000001</v>
      </c>
      <c r="P91">
        <v>267</v>
      </c>
      <c r="Q91">
        <v>311</v>
      </c>
      <c r="R91">
        <v>0.85899999999999999</v>
      </c>
      <c r="S91">
        <v>133</v>
      </c>
      <c r="T91">
        <v>396</v>
      </c>
      <c r="U91">
        <v>529</v>
      </c>
      <c r="V91">
        <v>225</v>
      </c>
      <c r="W91">
        <v>39</v>
      </c>
      <c r="X91">
        <v>57</v>
      </c>
      <c r="Y91">
        <v>160</v>
      </c>
      <c r="Z91">
        <v>186</v>
      </c>
      <c r="AA91">
        <v>1239</v>
      </c>
      <c r="AB91" t="str">
        <f t="shared" si="2"/>
        <v>Karl-Anthony Towns</v>
      </c>
    </row>
    <row r="92" spans="1:28" x14ac:dyDescent="0.25">
      <c r="A92">
        <v>1626157</v>
      </c>
      <c r="B92" t="s">
        <v>36</v>
      </c>
      <c r="C92">
        <v>0</v>
      </c>
      <c r="D92">
        <v>1610612750</v>
      </c>
      <c r="E92" t="s">
        <v>7</v>
      </c>
      <c r="F92">
        <v>26</v>
      </c>
      <c r="G92">
        <v>74</v>
      </c>
      <c r="H92">
        <v>74</v>
      </c>
      <c r="I92">
        <v>2475</v>
      </c>
      <c r="J92">
        <v>642</v>
      </c>
      <c r="K92">
        <v>1214</v>
      </c>
      <c r="L92">
        <v>0.52900000000000003</v>
      </c>
      <c r="M92">
        <v>150</v>
      </c>
      <c r="N92">
        <v>366</v>
      </c>
      <c r="O92">
        <v>0.41</v>
      </c>
      <c r="P92">
        <v>384</v>
      </c>
      <c r="Q92">
        <v>467</v>
      </c>
      <c r="R92">
        <v>0.82199999999999995</v>
      </c>
      <c r="S92">
        <v>194</v>
      </c>
      <c r="T92">
        <v>533</v>
      </c>
      <c r="U92">
        <v>727</v>
      </c>
      <c r="V92">
        <v>269</v>
      </c>
      <c r="W92">
        <v>72</v>
      </c>
      <c r="X92">
        <v>83</v>
      </c>
      <c r="Y92">
        <v>226</v>
      </c>
      <c r="Z92">
        <v>267</v>
      </c>
      <c r="AA92">
        <v>1818</v>
      </c>
      <c r="AB92" t="str">
        <f t="shared" si="2"/>
        <v>Karl-Anthony Towns</v>
      </c>
    </row>
    <row r="93" spans="1:28" x14ac:dyDescent="0.25">
      <c r="A93">
        <v>1626157</v>
      </c>
      <c r="B93" t="s">
        <v>37</v>
      </c>
      <c r="C93">
        <v>0</v>
      </c>
      <c r="D93">
        <v>1610612750</v>
      </c>
      <c r="E93" t="s">
        <v>7</v>
      </c>
      <c r="F93">
        <v>27</v>
      </c>
      <c r="G93">
        <v>29</v>
      </c>
      <c r="H93">
        <v>29</v>
      </c>
      <c r="I93">
        <v>957</v>
      </c>
      <c r="J93">
        <v>212</v>
      </c>
      <c r="K93">
        <v>428</v>
      </c>
      <c r="L93">
        <v>0.495</v>
      </c>
      <c r="M93">
        <v>60</v>
      </c>
      <c r="N93">
        <v>164</v>
      </c>
      <c r="O93">
        <v>0.36599999999999999</v>
      </c>
      <c r="P93">
        <v>118</v>
      </c>
      <c r="Q93">
        <v>135</v>
      </c>
      <c r="R93">
        <v>0.874</v>
      </c>
      <c r="S93">
        <v>48</v>
      </c>
      <c r="T93">
        <v>188</v>
      </c>
      <c r="U93">
        <v>236</v>
      </c>
      <c r="V93">
        <v>140</v>
      </c>
      <c r="W93">
        <v>20</v>
      </c>
      <c r="X93">
        <v>17</v>
      </c>
      <c r="Y93">
        <v>86</v>
      </c>
      <c r="Z93">
        <v>111</v>
      </c>
      <c r="AA93">
        <v>602</v>
      </c>
      <c r="AB93" t="str">
        <f t="shared" si="2"/>
        <v>Karl-Anthony Towns</v>
      </c>
    </row>
    <row r="94" spans="1:28" x14ac:dyDescent="0.25">
      <c r="A94">
        <v>1626157</v>
      </c>
      <c r="B94" t="s">
        <v>38</v>
      </c>
      <c r="C94">
        <v>0</v>
      </c>
      <c r="D94">
        <v>1610612750</v>
      </c>
      <c r="E94" t="s">
        <v>7</v>
      </c>
      <c r="F94">
        <v>28</v>
      </c>
      <c r="G94">
        <v>62</v>
      </c>
      <c r="H94">
        <v>62</v>
      </c>
      <c r="I94">
        <v>2026</v>
      </c>
      <c r="J94">
        <v>479</v>
      </c>
      <c r="K94">
        <v>951</v>
      </c>
      <c r="L94">
        <v>0.504</v>
      </c>
      <c r="M94">
        <v>136</v>
      </c>
      <c r="N94">
        <v>327</v>
      </c>
      <c r="O94">
        <v>0.41599999999999998</v>
      </c>
      <c r="P94">
        <v>255</v>
      </c>
      <c r="Q94">
        <v>292</v>
      </c>
      <c r="R94">
        <v>0.873</v>
      </c>
      <c r="S94">
        <v>94</v>
      </c>
      <c r="T94">
        <v>421</v>
      </c>
      <c r="U94">
        <v>515</v>
      </c>
      <c r="V94">
        <v>189</v>
      </c>
      <c r="W94">
        <v>43</v>
      </c>
      <c r="X94">
        <v>41</v>
      </c>
      <c r="Y94">
        <v>177</v>
      </c>
      <c r="Z94">
        <v>204</v>
      </c>
      <c r="AA94">
        <v>1349</v>
      </c>
      <c r="AB94" t="str">
        <f t="shared" si="2"/>
        <v>Karl-Anthony Towns</v>
      </c>
    </row>
    <row r="95" spans="1:28" x14ac:dyDescent="0.25">
      <c r="A95">
        <v>1626157</v>
      </c>
      <c r="B95" t="s">
        <v>39</v>
      </c>
      <c r="C95">
        <v>0</v>
      </c>
      <c r="D95">
        <v>1610612752</v>
      </c>
      <c r="E95" t="s">
        <v>41</v>
      </c>
      <c r="F95">
        <v>29</v>
      </c>
      <c r="G95">
        <v>72</v>
      </c>
      <c r="H95">
        <v>72</v>
      </c>
      <c r="I95">
        <v>2517</v>
      </c>
      <c r="J95">
        <v>639</v>
      </c>
      <c r="K95">
        <v>1215</v>
      </c>
      <c r="L95">
        <v>0.52600000000000002</v>
      </c>
      <c r="M95">
        <v>142</v>
      </c>
      <c r="N95">
        <v>338</v>
      </c>
      <c r="O95">
        <v>0.42</v>
      </c>
      <c r="P95">
        <v>339</v>
      </c>
      <c r="Q95">
        <v>409</v>
      </c>
      <c r="R95">
        <v>0.82899999999999996</v>
      </c>
      <c r="S95">
        <v>212</v>
      </c>
      <c r="T95">
        <v>708</v>
      </c>
      <c r="U95">
        <v>920</v>
      </c>
      <c r="V95">
        <v>222</v>
      </c>
      <c r="W95">
        <v>71</v>
      </c>
      <c r="X95">
        <v>50</v>
      </c>
      <c r="Y95">
        <v>192</v>
      </c>
      <c r="Z95">
        <v>249</v>
      </c>
      <c r="AA95">
        <v>1759</v>
      </c>
      <c r="AB95" t="str">
        <f t="shared" si="2"/>
        <v>Karl-Anthony Towns</v>
      </c>
    </row>
    <row r="96" spans="1:28" x14ac:dyDescent="0.25">
      <c r="A96">
        <v>1626157</v>
      </c>
      <c r="B96" t="s">
        <v>40</v>
      </c>
      <c r="C96">
        <v>0</v>
      </c>
      <c r="D96">
        <v>1610612752</v>
      </c>
      <c r="E96" t="s">
        <v>41</v>
      </c>
      <c r="F96">
        <v>30</v>
      </c>
      <c r="G96">
        <v>75</v>
      </c>
      <c r="H96">
        <v>75</v>
      </c>
      <c r="I96">
        <v>2322</v>
      </c>
      <c r="J96">
        <v>517</v>
      </c>
      <c r="K96">
        <v>1032</v>
      </c>
      <c r="L96">
        <v>0.501</v>
      </c>
      <c r="M96">
        <v>113</v>
      </c>
      <c r="N96">
        <v>307</v>
      </c>
      <c r="O96">
        <v>0.36799999999999999</v>
      </c>
      <c r="P96">
        <v>357</v>
      </c>
      <c r="Q96">
        <v>416</v>
      </c>
      <c r="R96">
        <v>0.85799999999999998</v>
      </c>
      <c r="S96">
        <v>233</v>
      </c>
      <c r="T96">
        <v>656</v>
      </c>
      <c r="U96">
        <v>889</v>
      </c>
      <c r="V96">
        <v>226</v>
      </c>
      <c r="W96">
        <v>65</v>
      </c>
      <c r="X96">
        <v>40</v>
      </c>
      <c r="Y96">
        <v>187</v>
      </c>
      <c r="Z96">
        <v>255</v>
      </c>
      <c r="AA96">
        <v>1504</v>
      </c>
      <c r="AB96" t="str">
        <f t="shared" si="2"/>
        <v>Karl-Anthony Towns</v>
      </c>
    </row>
    <row r="97" spans="1:28" x14ac:dyDescent="0.25">
      <c r="A97">
        <v>1629013</v>
      </c>
      <c r="B97" t="s">
        <v>32</v>
      </c>
      <c r="C97">
        <v>0</v>
      </c>
      <c r="D97">
        <v>1610612755</v>
      </c>
      <c r="E97" t="s">
        <v>50</v>
      </c>
      <c r="F97">
        <v>22</v>
      </c>
      <c r="G97">
        <v>54</v>
      </c>
      <c r="H97">
        <v>4</v>
      </c>
      <c r="I97">
        <v>1108</v>
      </c>
      <c r="J97">
        <v>153</v>
      </c>
      <c r="K97">
        <v>347</v>
      </c>
      <c r="L97">
        <v>0.441</v>
      </c>
      <c r="M97">
        <v>99</v>
      </c>
      <c r="N97">
        <v>245</v>
      </c>
      <c r="O97">
        <v>0.40400000000000003</v>
      </c>
      <c r="P97">
        <v>44</v>
      </c>
      <c r="Q97">
        <v>54</v>
      </c>
      <c r="R97">
        <v>0.81499999999999995</v>
      </c>
      <c r="S97">
        <v>14</v>
      </c>
      <c r="T97">
        <v>64</v>
      </c>
      <c r="U97">
        <v>78</v>
      </c>
      <c r="V97">
        <v>59</v>
      </c>
      <c r="W97">
        <v>24</v>
      </c>
      <c r="X97">
        <v>8</v>
      </c>
      <c r="Y97">
        <v>26</v>
      </c>
      <c r="Z97">
        <v>106</v>
      </c>
      <c r="AA97">
        <v>449</v>
      </c>
      <c r="AB97" t="str">
        <f t="shared" si="2"/>
        <v>Landry Shamet</v>
      </c>
    </row>
    <row r="98" spans="1:28" x14ac:dyDescent="0.25">
      <c r="A98">
        <v>1629013</v>
      </c>
      <c r="B98" t="s">
        <v>32</v>
      </c>
      <c r="C98">
        <v>0</v>
      </c>
      <c r="D98">
        <v>1610612746</v>
      </c>
      <c r="E98" t="s">
        <v>51</v>
      </c>
      <c r="F98">
        <v>22</v>
      </c>
      <c r="G98">
        <v>25</v>
      </c>
      <c r="H98">
        <v>23</v>
      </c>
      <c r="I98">
        <v>694</v>
      </c>
      <c r="J98">
        <v>87</v>
      </c>
      <c r="K98">
        <v>210</v>
      </c>
      <c r="L98">
        <v>0.41399999999999998</v>
      </c>
      <c r="M98">
        <v>68</v>
      </c>
      <c r="N98">
        <v>151</v>
      </c>
      <c r="O98">
        <v>0.45</v>
      </c>
      <c r="P98">
        <v>31</v>
      </c>
      <c r="Q98">
        <v>39</v>
      </c>
      <c r="R98">
        <v>0.79500000000000004</v>
      </c>
      <c r="S98">
        <v>7</v>
      </c>
      <c r="T98">
        <v>49</v>
      </c>
      <c r="U98">
        <v>56</v>
      </c>
      <c r="V98">
        <v>58</v>
      </c>
      <c r="W98">
        <v>13</v>
      </c>
      <c r="X98">
        <v>2</v>
      </c>
      <c r="Y98">
        <v>19</v>
      </c>
      <c r="Z98">
        <v>49</v>
      </c>
      <c r="AA98">
        <v>273</v>
      </c>
      <c r="AB98" t="str">
        <f t="shared" ref="AB98:AB113" si="3">_xlfn.XLOOKUP(A98,$AE$7:$AE$24,$AF$7:$AF$24,"???")</f>
        <v>Landry Shamet</v>
      </c>
    </row>
    <row r="99" spans="1:28" x14ac:dyDescent="0.25">
      <c r="A99">
        <v>1629013</v>
      </c>
      <c r="B99" t="s">
        <v>33</v>
      </c>
      <c r="C99">
        <v>0</v>
      </c>
      <c r="D99">
        <v>1610612746</v>
      </c>
      <c r="E99" t="s">
        <v>51</v>
      </c>
      <c r="F99">
        <v>23</v>
      </c>
      <c r="G99">
        <v>53</v>
      </c>
      <c r="H99">
        <v>30</v>
      </c>
      <c r="I99">
        <v>1452</v>
      </c>
      <c r="J99">
        <v>158</v>
      </c>
      <c r="K99">
        <v>391</v>
      </c>
      <c r="L99">
        <v>0.40400000000000003</v>
      </c>
      <c r="M99">
        <v>111</v>
      </c>
      <c r="N99">
        <v>296</v>
      </c>
      <c r="O99">
        <v>0.375</v>
      </c>
      <c r="P99">
        <v>65</v>
      </c>
      <c r="Q99">
        <v>76</v>
      </c>
      <c r="R99">
        <v>0.85499999999999998</v>
      </c>
      <c r="S99">
        <v>6</v>
      </c>
      <c r="T99">
        <v>94</v>
      </c>
      <c r="U99">
        <v>100</v>
      </c>
      <c r="V99">
        <v>99</v>
      </c>
      <c r="W99">
        <v>20</v>
      </c>
      <c r="X99">
        <v>10</v>
      </c>
      <c r="Y99">
        <v>42</v>
      </c>
      <c r="Z99">
        <v>142</v>
      </c>
      <c r="AA99">
        <v>492</v>
      </c>
      <c r="AB99" t="str">
        <f t="shared" si="3"/>
        <v>Landry Shamet</v>
      </c>
    </row>
    <row r="100" spans="1:28" x14ac:dyDescent="0.25">
      <c r="A100">
        <v>1629013</v>
      </c>
      <c r="B100" t="s">
        <v>35</v>
      </c>
      <c r="C100">
        <v>0</v>
      </c>
      <c r="D100">
        <v>1610612751</v>
      </c>
      <c r="E100" t="s">
        <v>49</v>
      </c>
      <c r="F100">
        <v>24</v>
      </c>
      <c r="G100">
        <v>61</v>
      </c>
      <c r="H100">
        <v>12</v>
      </c>
      <c r="I100">
        <v>1403</v>
      </c>
      <c r="J100">
        <v>186</v>
      </c>
      <c r="K100">
        <v>456</v>
      </c>
      <c r="L100">
        <v>0.40799999999999997</v>
      </c>
      <c r="M100">
        <v>129</v>
      </c>
      <c r="N100">
        <v>333</v>
      </c>
      <c r="O100">
        <v>0.38700000000000001</v>
      </c>
      <c r="P100">
        <v>66</v>
      </c>
      <c r="Q100">
        <v>78</v>
      </c>
      <c r="R100">
        <v>0.84599999999999997</v>
      </c>
      <c r="S100">
        <v>11</v>
      </c>
      <c r="T100">
        <v>101</v>
      </c>
      <c r="U100">
        <v>112</v>
      </c>
      <c r="V100">
        <v>99</v>
      </c>
      <c r="W100">
        <v>31</v>
      </c>
      <c r="X100">
        <v>10</v>
      </c>
      <c r="Y100">
        <v>48</v>
      </c>
      <c r="Z100">
        <v>93</v>
      </c>
      <c r="AA100">
        <v>567</v>
      </c>
      <c r="AB100" t="str">
        <f t="shared" si="3"/>
        <v>Landry Shamet</v>
      </c>
    </row>
    <row r="101" spans="1:28" x14ac:dyDescent="0.25">
      <c r="A101">
        <v>1629013</v>
      </c>
      <c r="B101" t="s">
        <v>36</v>
      </c>
      <c r="C101">
        <v>0</v>
      </c>
      <c r="D101">
        <v>1610612756</v>
      </c>
      <c r="E101" t="s">
        <v>48</v>
      </c>
      <c r="F101">
        <v>25</v>
      </c>
      <c r="G101">
        <v>69</v>
      </c>
      <c r="H101">
        <v>14</v>
      </c>
      <c r="I101">
        <v>1437</v>
      </c>
      <c r="J101">
        <v>191</v>
      </c>
      <c r="K101">
        <v>485</v>
      </c>
      <c r="L101">
        <v>0.39400000000000002</v>
      </c>
      <c r="M101">
        <v>123</v>
      </c>
      <c r="N101">
        <v>334</v>
      </c>
      <c r="O101">
        <v>0.36799999999999999</v>
      </c>
      <c r="P101">
        <v>68</v>
      </c>
      <c r="Q101">
        <v>81</v>
      </c>
      <c r="R101">
        <v>0.84</v>
      </c>
      <c r="S101">
        <v>16</v>
      </c>
      <c r="T101">
        <v>110</v>
      </c>
      <c r="U101">
        <v>126</v>
      </c>
      <c r="V101">
        <v>108</v>
      </c>
      <c r="W101">
        <v>28</v>
      </c>
      <c r="X101">
        <v>9</v>
      </c>
      <c r="Y101">
        <v>41</v>
      </c>
      <c r="Z101">
        <v>92</v>
      </c>
      <c r="AA101">
        <v>573</v>
      </c>
      <c r="AB101" t="str">
        <f t="shared" si="3"/>
        <v>Landry Shamet</v>
      </c>
    </row>
    <row r="102" spans="1:28" x14ac:dyDescent="0.25">
      <c r="A102">
        <v>1629013</v>
      </c>
      <c r="B102" t="s">
        <v>37</v>
      </c>
      <c r="C102">
        <v>0</v>
      </c>
      <c r="D102">
        <v>1610612756</v>
      </c>
      <c r="E102" t="s">
        <v>48</v>
      </c>
      <c r="F102">
        <v>26</v>
      </c>
      <c r="G102">
        <v>40</v>
      </c>
      <c r="H102">
        <v>9</v>
      </c>
      <c r="I102">
        <v>807</v>
      </c>
      <c r="J102">
        <v>113</v>
      </c>
      <c r="K102">
        <v>300</v>
      </c>
      <c r="L102">
        <v>0.377</v>
      </c>
      <c r="M102">
        <v>75</v>
      </c>
      <c r="N102">
        <v>199</v>
      </c>
      <c r="O102">
        <v>0.377</v>
      </c>
      <c r="P102">
        <v>45</v>
      </c>
      <c r="Q102">
        <v>51</v>
      </c>
      <c r="R102">
        <v>0.88200000000000001</v>
      </c>
      <c r="S102">
        <v>11</v>
      </c>
      <c r="T102">
        <v>56</v>
      </c>
      <c r="U102">
        <v>67</v>
      </c>
      <c r="V102">
        <v>93</v>
      </c>
      <c r="W102">
        <v>26</v>
      </c>
      <c r="X102">
        <v>5</v>
      </c>
      <c r="Y102">
        <v>36</v>
      </c>
      <c r="Z102">
        <v>61</v>
      </c>
      <c r="AA102">
        <v>346</v>
      </c>
      <c r="AB102" t="str">
        <f t="shared" si="3"/>
        <v>Landry Shamet</v>
      </c>
    </row>
    <row r="103" spans="1:28" x14ac:dyDescent="0.25">
      <c r="A103">
        <v>1629013</v>
      </c>
      <c r="B103" t="s">
        <v>38</v>
      </c>
      <c r="C103">
        <v>0</v>
      </c>
      <c r="D103">
        <v>1610612764</v>
      </c>
      <c r="E103" t="s">
        <v>52</v>
      </c>
      <c r="F103">
        <v>27</v>
      </c>
      <c r="G103">
        <v>46</v>
      </c>
      <c r="H103">
        <v>5</v>
      </c>
      <c r="I103">
        <v>727</v>
      </c>
      <c r="J103">
        <v>118</v>
      </c>
      <c r="K103">
        <v>274</v>
      </c>
      <c r="L103">
        <v>0.43099999999999999</v>
      </c>
      <c r="M103">
        <v>53</v>
      </c>
      <c r="N103">
        <v>157</v>
      </c>
      <c r="O103">
        <v>0.33800000000000002</v>
      </c>
      <c r="P103">
        <v>38</v>
      </c>
      <c r="Q103">
        <v>46</v>
      </c>
      <c r="R103">
        <v>0.82599999999999996</v>
      </c>
      <c r="S103">
        <v>16</v>
      </c>
      <c r="T103">
        <v>46</v>
      </c>
      <c r="U103">
        <v>62</v>
      </c>
      <c r="V103">
        <v>54</v>
      </c>
      <c r="W103">
        <v>25</v>
      </c>
      <c r="X103">
        <v>10</v>
      </c>
      <c r="Y103">
        <v>30</v>
      </c>
      <c r="Z103">
        <v>76</v>
      </c>
      <c r="AA103">
        <v>327</v>
      </c>
      <c r="AB103" t="str">
        <f t="shared" si="3"/>
        <v>Landry Shamet</v>
      </c>
    </row>
    <row r="104" spans="1:28" x14ac:dyDescent="0.25">
      <c r="A104">
        <v>1629013</v>
      </c>
      <c r="B104" t="s">
        <v>39</v>
      </c>
      <c r="C104">
        <v>0</v>
      </c>
      <c r="D104">
        <v>1610612752</v>
      </c>
      <c r="E104" t="s">
        <v>41</v>
      </c>
      <c r="F104">
        <v>28</v>
      </c>
      <c r="G104">
        <v>50</v>
      </c>
      <c r="H104">
        <v>0</v>
      </c>
      <c r="I104">
        <v>762</v>
      </c>
      <c r="J104">
        <v>106</v>
      </c>
      <c r="K104">
        <v>230</v>
      </c>
      <c r="L104">
        <v>0.46100000000000002</v>
      </c>
      <c r="M104">
        <v>62</v>
      </c>
      <c r="N104">
        <v>156</v>
      </c>
      <c r="O104">
        <v>0.39700000000000002</v>
      </c>
      <c r="P104">
        <v>12</v>
      </c>
      <c r="Q104">
        <v>18</v>
      </c>
      <c r="R104">
        <v>0.66700000000000004</v>
      </c>
      <c r="S104">
        <v>11</v>
      </c>
      <c r="T104">
        <v>50</v>
      </c>
      <c r="U104">
        <v>61</v>
      </c>
      <c r="V104">
        <v>27</v>
      </c>
      <c r="W104">
        <v>23</v>
      </c>
      <c r="X104">
        <v>2</v>
      </c>
      <c r="Y104">
        <v>22</v>
      </c>
      <c r="Z104">
        <v>52</v>
      </c>
      <c r="AA104">
        <v>286</v>
      </c>
      <c r="AB104" t="str">
        <f t="shared" si="3"/>
        <v>Landry Shamet</v>
      </c>
    </row>
    <row r="105" spans="1:28" x14ac:dyDescent="0.25">
      <c r="A105">
        <v>1629013</v>
      </c>
      <c r="B105" t="s">
        <v>40</v>
      </c>
      <c r="C105">
        <v>0</v>
      </c>
      <c r="D105">
        <v>1610612752</v>
      </c>
      <c r="E105" t="s">
        <v>41</v>
      </c>
      <c r="F105">
        <v>29</v>
      </c>
      <c r="G105">
        <v>51</v>
      </c>
      <c r="H105">
        <v>12</v>
      </c>
      <c r="I105">
        <v>1171</v>
      </c>
      <c r="J105">
        <v>159</v>
      </c>
      <c r="K105">
        <v>364</v>
      </c>
      <c r="L105">
        <v>0.437</v>
      </c>
      <c r="M105">
        <v>103</v>
      </c>
      <c r="N105">
        <v>263</v>
      </c>
      <c r="O105">
        <v>0.39200000000000002</v>
      </c>
      <c r="P105">
        <v>54</v>
      </c>
      <c r="Q105">
        <v>76</v>
      </c>
      <c r="R105">
        <v>0.71099999999999997</v>
      </c>
      <c r="S105">
        <v>23</v>
      </c>
      <c r="T105">
        <v>69</v>
      </c>
      <c r="U105">
        <v>92</v>
      </c>
      <c r="V105">
        <v>72</v>
      </c>
      <c r="W105">
        <v>31</v>
      </c>
      <c r="X105">
        <v>9</v>
      </c>
      <c r="Y105">
        <v>30</v>
      </c>
      <c r="Z105">
        <v>77</v>
      </c>
      <c r="AA105">
        <v>475</v>
      </c>
      <c r="AB105" t="str">
        <f t="shared" si="3"/>
        <v>Landry Shamet</v>
      </c>
    </row>
    <row r="106" spans="1:28" x14ac:dyDescent="0.25">
      <c r="A106">
        <v>1641998</v>
      </c>
      <c r="B106" t="s">
        <v>38</v>
      </c>
      <c r="C106">
        <v>0</v>
      </c>
      <c r="D106">
        <v>1610612764</v>
      </c>
      <c r="E106" t="s">
        <v>52</v>
      </c>
      <c r="F106">
        <v>24</v>
      </c>
      <c r="G106">
        <v>2</v>
      </c>
      <c r="H106">
        <v>0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1</v>
      </c>
      <c r="V106">
        <v>0</v>
      </c>
      <c r="W106">
        <v>0</v>
      </c>
      <c r="X106">
        <v>0</v>
      </c>
      <c r="Y106">
        <v>1</v>
      </c>
      <c r="Z106">
        <v>0</v>
      </c>
      <c r="AA106">
        <v>0</v>
      </c>
      <c r="AB106" t="str">
        <f t="shared" si="3"/>
        <v>Trey Jemison III</v>
      </c>
    </row>
    <row r="107" spans="1:28" x14ac:dyDescent="0.25">
      <c r="A107">
        <v>1641998</v>
      </c>
      <c r="B107" t="s">
        <v>38</v>
      </c>
      <c r="C107">
        <v>0</v>
      </c>
      <c r="D107">
        <v>1610612763</v>
      </c>
      <c r="E107" t="s">
        <v>53</v>
      </c>
      <c r="F107">
        <v>24</v>
      </c>
      <c r="G107">
        <v>23</v>
      </c>
      <c r="H107">
        <v>14</v>
      </c>
      <c r="I107">
        <v>573</v>
      </c>
      <c r="J107">
        <v>75</v>
      </c>
      <c r="K107">
        <v>136</v>
      </c>
      <c r="L107">
        <v>0.55100000000000005</v>
      </c>
      <c r="M107">
        <v>0</v>
      </c>
      <c r="N107">
        <v>0</v>
      </c>
      <c r="O107">
        <v>0</v>
      </c>
      <c r="P107">
        <v>21</v>
      </c>
      <c r="Q107">
        <v>25</v>
      </c>
      <c r="R107">
        <v>0.84</v>
      </c>
      <c r="S107">
        <v>64</v>
      </c>
      <c r="T107">
        <v>69</v>
      </c>
      <c r="U107">
        <v>133</v>
      </c>
      <c r="V107">
        <v>27</v>
      </c>
      <c r="W107">
        <v>12</v>
      </c>
      <c r="X107">
        <v>28</v>
      </c>
      <c r="Y107">
        <v>33</v>
      </c>
      <c r="Z107">
        <v>69</v>
      </c>
      <c r="AA107">
        <v>171</v>
      </c>
      <c r="AB107" t="str">
        <f t="shared" si="3"/>
        <v>Trey Jemison III</v>
      </c>
    </row>
    <row r="108" spans="1:28" x14ac:dyDescent="0.25">
      <c r="A108">
        <v>1641998</v>
      </c>
      <c r="B108" t="s">
        <v>39</v>
      </c>
      <c r="C108">
        <v>0</v>
      </c>
      <c r="D108">
        <v>1610612740</v>
      </c>
      <c r="E108" t="s">
        <v>43</v>
      </c>
      <c r="F108">
        <v>25</v>
      </c>
      <c r="G108">
        <v>16</v>
      </c>
      <c r="H108">
        <v>0</v>
      </c>
      <c r="I108">
        <v>166</v>
      </c>
      <c r="J108">
        <v>15</v>
      </c>
      <c r="K108">
        <v>32</v>
      </c>
      <c r="L108">
        <v>0.46899999999999997</v>
      </c>
      <c r="M108">
        <v>0</v>
      </c>
      <c r="N108">
        <v>0</v>
      </c>
      <c r="O108">
        <v>0</v>
      </c>
      <c r="P108">
        <v>8</v>
      </c>
      <c r="Q108">
        <v>21</v>
      </c>
      <c r="R108">
        <v>0.38100000000000001</v>
      </c>
      <c r="S108">
        <v>22</v>
      </c>
      <c r="T108">
        <v>22</v>
      </c>
      <c r="U108">
        <v>44</v>
      </c>
      <c r="V108">
        <v>10</v>
      </c>
      <c r="W108">
        <v>7</v>
      </c>
      <c r="X108">
        <v>6</v>
      </c>
      <c r="Y108">
        <v>10</v>
      </c>
      <c r="Z108">
        <v>27</v>
      </c>
      <c r="AA108">
        <v>38</v>
      </c>
      <c r="AB108" t="str">
        <f t="shared" si="3"/>
        <v>Trey Jemison III</v>
      </c>
    </row>
    <row r="109" spans="1:28" x14ac:dyDescent="0.25">
      <c r="A109">
        <v>1641998</v>
      </c>
      <c r="B109" t="s">
        <v>39</v>
      </c>
      <c r="C109">
        <v>0</v>
      </c>
      <c r="D109">
        <v>1610612747</v>
      </c>
      <c r="E109" t="s">
        <v>27</v>
      </c>
      <c r="F109">
        <v>25</v>
      </c>
      <c r="G109">
        <v>22</v>
      </c>
      <c r="H109">
        <v>0</v>
      </c>
      <c r="I109">
        <v>226</v>
      </c>
      <c r="J109">
        <v>26</v>
      </c>
      <c r="K109">
        <v>42</v>
      </c>
      <c r="L109">
        <v>0.61899999999999999</v>
      </c>
      <c r="M109">
        <v>0</v>
      </c>
      <c r="N109">
        <v>0</v>
      </c>
      <c r="O109">
        <v>0</v>
      </c>
      <c r="P109">
        <v>5</v>
      </c>
      <c r="Q109">
        <v>12</v>
      </c>
      <c r="R109">
        <v>0.41699999999999998</v>
      </c>
      <c r="S109">
        <v>22</v>
      </c>
      <c r="T109">
        <v>39</v>
      </c>
      <c r="U109">
        <v>61</v>
      </c>
      <c r="V109">
        <v>6</v>
      </c>
      <c r="W109">
        <v>2</v>
      </c>
      <c r="X109">
        <v>9</v>
      </c>
      <c r="Y109">
        <v>14</v>
      </c>
      <c r="Z109">
        <v>42</v>
      </c>
      <c r="AA109">
        <v>57</v>
      </c>
      <c r="AB109" t="str">
        <f t="shared" si="3"/>
        <v>Trey Jemison III</v>
      </c>
    </row>
    <row r="110" spans="1:28" x14ac:dyDescent="0.25">
      <c r="A110">
        <v>1641998</v>
      </c>
      <c r="B110" t="s">
        <v>40</v>
      </c>
      <c r="C110">
        <v>0</v>
      </c>
      <c r="D110">
        <v>1610612752</v>
      </c>
      <c r="E110" t="s">
        <v>41</v>
      </c>
      <c r="F110">
        <v>26</v>
      </c>
      <c r="G110">
        <v>13</v>
      </c>
      <c r="H110">
        <v>0</v>
      </c>
      <c r="I110">
        <v>82</v>
      </c>
      <c r="J110">
        <v>6</v>
      </c>
      <c r="K110">
        <v>10</v>
      </c>
      <c r="L110">
        <v>0.6</v>
      </c>
      <c r="M110">
        <v>0</v>
      </c>
      <c r="N110">
        <v>0</v>
      </c>
      <c r="O110">
        <v>0</v>
      </c>
      <c r="P110">
        <v>1</v>
      </c>
      <c r="Q110">
        <v>1</v>
      </c>
      <c r="R110">
        <v>1</v>
      </c>
      <c r="S110">
        <v>8</v>
      </c>
      <c r="T110">
        <v>10</v>
      </c>
      <c r="U110">
        <v>18</v>
      </c>
      <c r="V110">
        <v>5</v>
      </c>
      <c r="W110">
        <v>1</v>
      </c>
      <c r="X110">
        <v>2</v>
      </c>
      <c r="Y110">
        <v>10</v>
      </c>
      <c r="Z110">
        <v>11</v>
      </c>
      <c r="AA110">
        <v>13</v>
      </c>
      <c r="AB110" t="str">
        <f t="shared" si="3"/>
        <v>Trey Jemison III</v>
      </c>
    </row>
    <row r="111" spans="1:28" x14ac:dyDescent="0.25">
      <c r="A111">
        <v>1642885</v>
      </c>
      <c r="B111" t="s">
        <v>40</v>
      </c>
      <c r="C111">
        <v>0</v>
      </c>
      <c r="D111">
        <v>1610612752</v>
      </c>
      <c r="E111" t="s">
        <v>41</v>
      </c>
      <c r="F111">
        <v>21</v>
      </c>
      <c r="G111">
        <v>69</v>
      </c>
      <c r="H111">
        <v>7</v>
      </c>
      <c r="I111">
        <v>634</v>
      </c>
      <c r="J111">
        <v>90</v>
      </c>
      <c r="K111">
        <v>213</v>
      </c>
      <c r="L111">
        <v>0.42299999999999999</v>
      </c>
      <c r="M111">
        <v>48</v>
      </c>
      <c r="N111">
        <v>130</v>
      </c>
      <c r="O111">
        <v>0.36899999999999999</v>
      </c>
      <c r="P111">
        <v>18</v>
      </c>
      <c r="Q111">
        <v>24</v>
      </c>
      <c r="R111">
        <v>0.75</v>
      </c>
      <c r="S111">
        <v>15</v>
      </c>
      <c r="T111">
        <v>79</v>
      </c>
      <c r="U111">
        <v>94</v>
      </c>
      <c r="V111">
        <v>53</v>
      </c>
      <c r="W111">
        <v>17</v>
      </c>
      <c r="X111">
        <v>6</v>
      </c>
      <c r="Y111">
        <v>30</v>
      </c>
      <c r="Z111">
        <v>50</v>
      </c>
      <c r="AA111">
        <v>246</v>
      </c>
      <c r="AB111" t="str">
        <f t="shared" si="3"/>
        <v>Mohamed Diawara</v>
      </c>
    </row>
    <row r="112" spans="1:28" x14ac:dyDescent="0.25">
      <c r="A112">
        <v>1630574</v>
      </c>
      <c r="B112" t="s">
        <v>39</v>
      </c>
      <c r="C112">
        <v>0</v>
      </c>
      <c r="D112">
        <v>1610612752</v>
      </c>
      <c r="E112" t="s">
        <v>41</v>
      </c>
      <c r="F112">
        <v>23</v>
      </c>
      <c r="G112">
        <v>25</v>
      </c>
      <c r="H112">
        <v>1</v>
      </c>
      <c r="I112">
        <v>217</v>
      </c>
      <c r="J112">
        <v>21</v>
      </c>
      <c r="K112">
        <v>31</v>
      </c>
      <c r="L112">
        <v>0.67700000000000005</v>
      </c>
      <c r="M112">
        <v>0</v>
      </c>
      <c r="N112">
        <v>0</v>
      </c>
      <c r="O112">
        <v>0</v>
      </c>
      <c r="P112">
        <v>6</v>
      </c>
      <c r="Q112">
        <v>13</v>
      </c>
      <c r="R112">
        <v>0.46200000000000002</v>
      </c>
      <c r="S112">
        <v>14</v>
      </c>
      <c r="T112">
        <v>37</v>
      </c>
      <c r="U112">
        <v>51</v>
      </c>
      <c r="V112">
        <v>11</v>
      </c>
      <c r="W112">
        <v>1</v>
      </c>
      <c r="X112">
        <v>15</v>
      </c>
      <c r="Y112">
        <v>21</v>
      </c>
      <c r="Z112">
        <v>32</v>
      </c>
      <c r="AA112">
        <v>48</v>
      </c>
      <c r="AB112" t="str">
        <f t="shared" si="3"/>
        <v>Ariel Hukporti</v>
      </c>
    </row>
    <row r="113" spans="1:28" x14ac:dyDescent="0.25">
      <c r="A113">
        <v>1630574</v>
      </c>
      <c r="B113" t="s">
        <v>40</v>
      </c>
      <c r="C113">
        <v>0</v>
      </c>
      <c r="D113">
        <v>1610612752</v>
      </c>
      <c r="E113" t="s">
        <v>41</v>
      </c>
      <c r="F113">
        <v>24</v>
      </c>
      <c r="G113">
        <v>54</v>
      </c>
      <c r="H113">
        <v>5</v>
      </c>
      <c r="I113">
        <v>498</v>
      </c>
      <c r="J113">
        <v>45</v>
      </c>
      <c r="K113">
        <v>80</v>
      </c>
      <c r="L113">
        <v>0.56299999999999994</v>
      </c>
      <c r="M113">
        <v>1</v>
      </c>
      <c r="N113">
        <v>4</v>
      </c>
      <c r="O113">
        <v>0.25</v>
      </c>
      <c r="P113">
        <v>26</v>
      </c>
      <c r="Q113">
        <v>33</v>
      </c>
      <c r="R113">
        <v>0.78800000000000003</v>
      </c>
      <c r="S113">
        <v>56</v>
      </c>
      <c r="T113">
        <v>103</v>
      </c>
      <c r="U113">
        <v>159</v>
      </c>
      <c r="V113">
        <v>29</v>
      </c>
      <c r="W113">
        <v>9</v>
      </c>
      <c r="X113">
        <v>26</v>
      </c>
      <c r="Y113">
        <v>32</v>
      </c>
      <c r="Z113">
        <v>67</v>
      </c>
      <c r="AA113">
        <v>117</v>
      </c>
      <c r="AB113" t="str">
        <f t="shared" si="3"/>
        <v>Ariel Hukporti</v>
      </c>
    </row>
  </sheetData>
  <pageMargins left="0.7" right="0.7" top="0.75" bottom="0.75" header="0.3" footer="0.3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A35C87-5D47-48B0-9D75-5187538B1E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Logan Tracy</dc:creator>
  <cp:lastModifiedBy>Logan Tracy</cp:lastModifiedBy>
  <dcterms:created xsi:type="dcterms:W3CDTF">2026-06-22T19:42:25Z</dcterms:created>
  <dcterms:modified xsi:type="dcterms:W3CDTF">2026-07-24T14:47:43Z</dcterms:modified>
</cp:coreProperties>
</file>